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ou_x\GITHUB\meteo_climatologie\"/>
    </mc:Choice>
  </mc:AlternateContent>
  <xr:revisionPtr revIDLastSave="0" documentId="13_ncr:1_{2B9C9484-4399-478A-BCE3-66B8FB634A60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Data" sheetId="1" r:id="rId1"/>
    <sheet name="Test" sheetId="3" state="hidden" r:id="rId2"/>
    <sheet name="Ouest" sheetId="2" r:id="rId3"/>
    <sheet name="Est" sheetId="4" r:id="rId4"/>
    <sheet name="Nord" sheetId="5" r:id="rId5"/>
    <sheet name="Sud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" i="6" l="1"/>
  <c r="U4" i="6" s="1"/>
  <c r="U5" i="6" s="1"/>
  <c r="U6" i="6" s="1"/>
  <c r="U7" i="6" s="1"/>
  <c r="U8" i="6" s="1"/>
  <c r="U9" i="6" s="1"/>
  <c r="U10" i="6" s="1"/>
  <c r="U11" i="6" s="1"/>
  <c r="U12" i="6" s="1"/>
  <c r="U13" i="6" s="1"/>
  <c r="U14" i="6" s="1"/>
  <c r="U15" i="6" s="1"/>
  <c r="U16" i="6" s="1"/>
  <c r="U17" i="6" s="1"/>
  <c r="U18" i="6" s="1"/>
  <c r="U19" i="6" s="1"/>
  <c r="U20" i="6" s="1"/>
  <c r="U21" i="6" s="1"/>
  <c r="U22" i="6" s="1"/>
  <c r="U23" i="6" s="1"/>
  <c r="U24" i="6" s="1"/>
  <c r="U25" i="6" s="1"/>
  <c r="U26" i="6" s="1"/>
  <c r="U27" i="6" s="1"/>
  <c r="U28" i="6" s="1"/>
  <c r="U29" i="6" s="1"/>
  <c r="U30" i="6" s="1"/>
  <c r="U31" i="6" s="1"/>
  <c r="U32" i="6" s="1"/>
  <c r="U33" i="6" s="1"/>
  <c r="U34" i="6" s="1"/>
  <c r="U35" i="6" s="1"/>
  <c r="U36" i="6" s="1"/>
  <c r="U37" i="6" s="1"/>
  <c r="U38" i="6" s="1"/>
  <c r="U39" i="6" s="1"/>
  <c r="U40" i="6" s="1"/>
  <c r="U41" i="6" s="1"/>
  <c r="U42" i="6" s="1"/>
  <c r="U43" i="6" s="1"/>
  <c r="U44" i="6" s="1"/>
  <c r="U45" i="6" s="1"/>
  <c r="U46" i="6" s="1"/>
  <c r="U47" i="6" s="1"/>
  <c r="U48" i="6" s="1"/>
  <c r="U49" i="6" s="1"/>
  <c r="U50" i="6" s="1"/>
  <c r="U51" i="6" s="1"/>
  <c r="U52" i="6" s="1"/>
  <c r="U53" i="6" s="1"/>
  <c r="U54" i="6" s="1"/>
  <c r="U55" i="6" s="1"/>
  <c r="U56" i="6" s="1"/>
  <c r="U57" i="6" s="1"/>
  <c r="U58" i="6" s="1"/>
  <c r="U59" i="6" s="1"/>
  <c r="U60" i="6" s="1"/>
  <c r="U61" i="6" s="1"/>
  <c r="U62" i="6" s="1"/>
  <c r="U63" i="6" s="1"/>
  <c r="U64" i="6" s="1"/>
  <c r="U65" i="6" s="1"/>
  <c r="U66" i="6" s="1"/>
  <c r="U67" i="6" s="1"/>
  <c r="U68" i="6" s="1"/>
  <c r="U69" i="6" s="1"/>
  <c r="U70" i="6" s="1"/>
  <c r="U71" i="6" s="1"/>
  <c r="U72" i="6" s="1"/>
  <c r="U73" i="6" s="1"/>
  <c r="U74" i="6" s="1"/>
  <c r="U75" i="6" s="1"/>
  <c r="U76" i="6" s="1"/>
  <c r="U77" i="6" s="1"/>
  <c r="U78" i="6" s="1"/>
  <c r="U79" i="6" s="1"/>
  <c r="U80" i="6" s="1"/>
  <c r="U81" i="6" s="1"/>
  <c r="U82" i="6" s="1"/>
  <c r="U83" i="6" s="1"/>
  <c r="U84" i="6" s="1"/>
  <c r="U85" i="6" s="1"/>
  <c r="U86" i="6" s="1"/>
  <c r="U87" i="6" s="1"/>
  <c r="U88" i="6" s="1"/>
  <c r="U89" i="6" s="1"/>
  <c r="U90" i="6" s="1"/>
  <c r="U91" i="6" s="1"/>
  <c r="U92" i="6" s="1"/>
  <c r="C28" i="6" s="1"/>
  <c r="V3" i="6"/>
  <c r="V4" i="6" s="1"/>
  <c r="V5" i="6" s="1"/>
  <c r="V6" i="6" s="1"/>
  <c r="V7" i="6" s="1"/>
  <c r="V8" i="6" s="1"/>
  <c r="V9" i="6" s="1"/>
  <c r="V10" i="6" s="1"/>
  <c r="V11" i="6" s="1"/>
  <c r="V12" i="6" s="1"/>
  <c r="V13" i="6" s="1"/>
  <c r="V14" i="6" s="1"/>
  <c r="V15" i="6" s="1"/>
  <c r="V16" i="6" s="1"/>
  <c r="V17" i="6" s="1"/>
  <c r="V18" i="6" s="1"/>
  <c r="V19" i="6" s="1"/>
  <c r="V20" i="6" s="1"/>
  <c r="V21" i="6" s="1"/>
  <c r="V22" i="6" s="1"/>
  <c r="V23" i="6" s="1"/>
  <c r="V24" i="6" s="1"/>
  <c r="V25" i="6" s="1"/>
  <c r="V26" i="6" s="1"/>
  <c r="V27" i="6" s="1"/>
  <c r="V28" i="6" s="1"/>
  <c r="V29" i="6" s="1"/>
  <c r="V30" i="6" s="1"/>
  <c r="V31" i="6" s="1"/>
  <c r="V32" i="6" s="1"/>
  <c r="V33" i="6" s="1"/>
  <c r="V34" i="6" s="1"/>
  <c r="V35" i="6" s="1"/>
  <c r="V36" i="6" s="1"/>
  <c r="V37" i="6" s="1"/>
  <c r="V38" i="6" s="1"/>
  <c r="V39" i="6" s="1"/>
  <c r="V40" i="6" s="1"/>
  <c r="V41" i="6" s="1"/>
  <c r="V42" i="6" s="1"/>
  <c r="V43" i="6" s="1"/>
  <c r="V44" i="6" s="1"/>
  <c r="V45" i="6" s="1"/>
  <c r="V46" i="6" s="1"/>
  <c r="V47" i="6" s="1"/>
  <c r="V48" i="6" s="1"/>
  <c r="V49" i="6" s="1"/>
  <c r="V50" i="6" s="1"/>
  <c r="V51" i="6" s="1"/>
  <c r="V52" i="6" s="1"/>
  <c r="V53" i="6" s="1"/>
  <c r="V54" i="6" s="1"/>
  <c r="V55" i="6" s="1"/>
  <c r="V56" i="6" s="1"/>
  <c r="V57" i="6" s="1"/>
  <c r="V58" i="6" s="1"/>
  <c r="V59" i="6" s="1"/>
  <c r="V60" i="6" s="1"/>
  <c r="V61" i="6" s="1"/>
  <c r="V62" i="6" s="1"/>
  <c r="V63" i="6" s="1"/>
  <c r="V64" i="6" s="1"/>
  <c r="V65" i="6" s="1"/>
  <c r="V66" i="6" s="1"/>
  <c r="V67" i="6" s="1"/>
  <c r="V68" i="6" s="1"/>
  <c r="V69" i="6" s="1"/>
  <c r="V70" i="6" s="1"/>
  <c r="V71" i="6" s="1"/>
  <c r="V72" i="6" s="1"/>
  <c r="V73" i="6" s="1"/>
  <c r="V74" i="6" s="1"/>
  <c r="V75" i="6" s="1"/>
  <c r="V76" i="6" s="1"/>
  <c r="V77" i="6" s="1"/>
  <c r="V78" i="6" s="1"/>
  <c r="V79" i="6" s="1"/>
  <c r="V80" i="6" s="1"/>
  <c r="V81" i="6" s="1"/>
  <c r="V82" i="6" s="1"/>
  <c r="V83" i="6" s="1"/>
  <c r="V84" i="6" s="1"/>
  <c r="V85" i="6" s="1"/>
  <c r="V86" i="6" s="1"/>
  <c r="V87" i="6" s="1"/>
  <c r="V88" i="6" s="1"/>
  <c r="V89" i="6" s="1"/>
  <c r="V90" i="6" s="1"/>
  <c r="V91" i="6" s="1"/>
  <c r="V92" i="6" s="1"/>
  <c r="D28" i="6" s="1"/>
  <c r="W3" i="6"/>
  <c r="W4" i="6" s="1"/>
  <c r="W5" i="6" s="1"/>
  <c r="W6" i="6" s="1"/>
  <c r="W7" i="6" s="1"/>
  <c r="W8" i="6" s="1"/>
  <c r="W9" i="6" s="1"/>
  <c r="W10" i="6" s="1"/>
  <c r="W11" i="6" s="1"/>
  <c r="W12" i="6" s="1"/>
  <c r="W13" i="6" s="1"/>
  <c r="W14" i="6" s="1"/>
  <c r="W15" i="6" s="1"/>
  <c r="W16" i="6" s="1"/>
  <c r="W17" i="6" s="1"/>
  <c r="W18" i="6" s="1"/>
  <c r="W19" i="6" s="1"/>
  <c r="W20" i="6" s="1"/>
  <c r="W21" i="6" s="1"/>
  <c r="W22" i="6" s="1"/>
  <c r="W23" i="6" s="1"/>
  <c r="W24" i="6" s="1"/>
  <c r="W25" i="6" s="1"/>
  <c r="W26" i="6" s="1"/>
  <c r="W27" i="6" s="1"/>
  <c r="W28" i="6" s="1"/>
  <c r="W29" i="6" s="1"/>
  <c r="W30" i="6" s="1"/>
  <c r="W31" i="6" s="1"/>
  <c r="W32" i="6" s="1"/>
  <c r="W33" i="6" s="1"/>
  <c r="W34" i="6" s="1"/>
  <c r="W35" i="6" s="1"/>
  <c r="W36" i="6" s="1"/>
  <c r="W37" i="6" s="1"/>
  <c r="W38" i="6" s="1"/>
  <c r="W39" i="6" s="1"/>
  <c r="W40" i="6" s="1"/>
  <c r="W41" i="6" s="1"/>
  <c r="W42" i="6" s="1"/>
  <c r="W43" i="6" s="1"/>
  <c r="W44" i="6" s="1"/>
  <c r="W45" i="6" s="1"/>
  <c r="W46" i="6" s="1"/>
  <c r="W47" i="6" s="1"/>
  <c r="W48" i="6" s="1"/>
  <c r="W49" i="6" s="1"/>
  <c r="W50" i="6" s="1"/>
  <c r="W51" i="6" s="1"/>
  <c r="W52" i="6" s="1"/>
  <c r="W53" i="6" s="1"/>
  <c r="W54" i="6" s="1"/>
  <c r="W55" i="6" s="1"/>
  <c r="W56" i="6" s="1"/>
  <c r="W57" i="6" s="1"/>
  <c r="W58" i="6" s="1"/>
  <c r="W59" i="6" s="1"/>
  <c r="W60" i="6" s="1"/>
  <c r="W61" i="6" s="1"/>
  <c r="W62" i="6" s="1"/>
  <c r="W63" i="6" s="1"/>
  <c r="W64" i="6" s="1"/>
  <c r="W65" i="6" s="1"/>
  <c r="W66" i="6" s="1"/>
  <c r="W67" i="6" s="1"/>
  <c r="W68" i="6" s="1"/>
  <c r="W69" i="6" s="1"/>
  <c r="W70" i="6" s="1"/>
  <c r="W71" i="6" s="1"/>
  <c r="W72" i="6" s="1"/>
  <c r="W73" i="6" s="1"/>
  <c r="W74" i="6" s="1"/>
  <c r="W75" i="6" s="1"/>
  <c r="W76" i="6" s="1"/>
  <c r="W77" i="6" s="1"/>
  <c r="W78" i="6" s="1"/>
  <c r="W79" i="6" s="1"/>
  <c r="W80" i="6" s="1"/>
  <c r="W81" i="6" s="1"/>
  <c r="W82" i="6" s="1"/>
  <c r="W83" i="6" s="1"/>
  <c r="W84" i="6" s="1"/>
  <c r="W85" i="6" s="1"/>
  <c r="W86" i="6" s="1"/>
  <c r="W87" i="6" s="1"/>
  <c r="W88" i="6" s="1"/>
  <c r="W89" i="6" s="1"/>
  <c r="W90" i="6" s="1"/>
  <c r="W91" i="6" s="1"/>
  <c r="W92" i="6" s="1"/>
  <c r="E28" i="6" s="1"/>
  <c r="X3" i="6"/>
  <c r="X4" i="6" s="1"/>
  <c r="X5" i="6" s="1"/>
  <c r="X6" i="6" s="1"/>
  <c r="X7" i="6" s="1"/>
  <c r="X8" i="6" s="1"/>
  <c r="X9" i="6" s="1"/>
  <c r="X10" i="6" s="1"/>
  <c r="X11" i="6" s="1"/>
  <c r="X12" i="6" s="1"/>
  <c r="X13" i="6" s="1"/>
  <c r="X14" i="6" s="1"/>
  <c r="X15" i="6" s="1"/>
  <c r="X16" i="6" s="1"/>
  <c r="X17" i="6" s="1"/>
  <c r="X18" i="6" s="1"/>
  <c r="X19" i="6" s="1"/>
  <c r="X20" i="6" s="1"/>
  <c r="X21" i="6" s="1"/>
  <c r="X22" i="6" s="1"/>
  <c r="X23" i="6" s="1"/>
  <c r="X24" i="6" s="1"/>
  <c r="X25" i="6" s="1"/>
  <c r="X26" i="6" s="1"/>
  <c r="X27" i="6" s="1"/>
  <c r="X28" i="6" s="1"/>
  <c r="X29" i="6" s="1"/>
  <c r="X30" i="6" s="1"/>
  <c r="X31" i="6" s="1"/>
  <c r="X32" i="6" s="1"/>
  <c r="X33" i="6" s="1"/>
  <c r="X34" i="6" s="1"/>
  <c r="X35" i="6" s="1"/>
  <c r="X36" i="6" s="1"/>
  <c r="X37" i="6" s="1"/>
  <c r="X38" i="6" s="1"/>
  <c r="X39" i="6" s="1"/>
  <c r="X40" i="6" s="1"/>
  <c r="X41" i="6" s="1"/>
  <c r="X42" i="6" s="1"/>
  <c r="X43" i="6" s="1"/>
  <c r="X44" i="6" s="1"/>
  <c r="X45" i="6" s="1"/>
  <c r="X46" i="6" s="1"/>
  <c r="X47" i="6" s="1"/>
  <c r="X48" i="6" s="1"/>
  <c r="X49" i="6" s="1"/>
  <c r="X50" i="6" s="1"/>
  <c r="X51" i="6" s="1"/>
  <c r="X52" i="6" s="1"/>
  <c r="X53" i="6" s="1"/>
  <c r="X54" i="6" s="1"/>
  <c r="X55" i="6" s="1"/>
  <c r="X56" i="6" s="1"/>
  <c r="X57" i="6" s="1"/>
  <c r="X58" i="6" s="1"/>
  <c r="X59" i="6" s="1"/>
  <c r="X60" i="6" s="1"/>
  <c r="X61" i="6" s="1"/>
  <c r="X62" i="6" s="1"/>
  <c r="X63" i="6" s="1"/>
  <c r="X64" i="6" s="1"/>
  <c r="X65" i="6" s="1"/>
  <c r="X66" i="6" s="1"/>
  <c r="X67" i="6" s="1"/>
  <c r="X68" i="6" s="1"/>
  <c r="X69" i="6" s="1"/>
  <c r="X70" i="6" s="1"/>
  <c r="X71" i="6" s="1"/>
  <c r="X72" i="6" s="1"/>
  <c r="X73" i="6" s="1"/>
  <c r="X74" i="6" s="1"/>
  <c r="X75" i="6" s="1"/>
  <c r="X76" i="6" s="1"/>
  <c r="X77" i="6" s="1"/>
  <c r="X78" i="6" s="1"/>
  <c r="X79" i="6" s="1"/>
  <c r="X80" i="6" s="1"/>
  <c r="X81" i="6" s="1"/>
  <c r="X82" i="6" s="1"/>
  <c r="X83" i="6" s="1"/>
  <c r="X84" i="6" s="1"/>
  <c r="X85" i="6" s="1"/>
  <c r="X86" i="6" s="1"/>
  <c r="X87" i="6" s="1"/>
  <c r="X88" i="6" s="1"/>
  <c r="X89" i="6" s="1"/>
  <c r="X90" i="6" s="1"/>
  <c r="X91" i="6" s="1"/>
  <c r="X92" i="6" s="1"/>
  <c r="F28" i="6" s="1"/>
  <c r="T3" i="6"/>
  <c r="T4" i="6" s="1"/>
  <c r="T5" i="6" s="1"/>
  <c r="T6" i="6" s="1"/>
  <c r="T7" i="6" s="1"/>
  <c r="T8" i="6" s="1"/>
  <c r="T9" i="6" s="1"/>
  <c r="T10" i="6" s="1"/>
  <c r="T11" i="6" s="1"/>
  <c r="T12" i="6" s="1"/>
  <c r="T13" i="6" s="1"/>
  <c r="T14" i="6" s="1"/>
  <c r="T15" i="6" s="1"/>
  <c r="T16" i="6" s="1"/>
  <c r="T17" i="6" s="1"/>
  <c r="T18" i="6" s="1"/>
  <c r="T19" i="6" s="1"/>
  <c r="T20" i="6" s="1"/>
  <c r="T21" i="6" s="1"/>
  <c r="T22" i="6" s="1"/>
  <c r="T23" i="6" s="1"/>
  <c r="T24" i="6" s="1"/>
  <c r="T25" i="6" s="1"/>
  <c r="T26" i="6" s="1"/>
  <c r="T27" i="6" s="1"/>
  <c r="T28" i="6" s="1"/>
  <c r="T29" i="6" s="1"/>
  <c r="T30" i="6" s="1"/>
  <c r="T31" i="6" s="1"/>
  <c r="T32" i="6" s="1"/>
  <c r="T33" i="6" s="1"/>
  <c r="T34" i="6" s="1"/>
  <c r="T35" i="6" s="1"/>
  <c r="T36" i="6" s="1"/>
  <c r="T37" i="6" s="1"/>
  <c r="T38" i="6" s="1"/>
  <c r="T39" i="6" s="1"/>
  <c r="T40" i="6" s="1"/>
  <c r="T41" i="6" s="1"/>
  <c r="T42" i="6" s="1"/>
  <c r="T43" i="6" s="1"/>
  <c r="T44" i="6" s="1"/>
  <c r="T45" i="6" s="1"/>
  <c r="T46" i="6" s="1"/>
  <c r="T47" i="6" s="1"/>
  <c r="T48" i="6" s="1"/>
  <c r="T49" i="6" s="1"/>
  <c r="T50" i="6" s="1"/>
  <c r="T51" i="6" s="1"/>
  <c r="T52" i="6" s="1"/>
  <c r="T53" i="6" s="1"/>
  <c r="T54" i="6" s="1"/>
  <c r="T55" i="6" s="1"/>
  <c r="T56" i="6" s="1"/>
  <c r="T57" i="6" s="1"/>
  <c r="T58" i="6" s="1"/>
  <c r="T59" i="6" s="1"/>
  <c r="T60" i="6" s="1"/>
  <c r="T61" i="6" s="1"/>
  <c r="T62" i="6" s="1"/>
  <c r="T63" i="6" s="1"/>
  <c r="T64" i="6" s="1"/>
  <c r="T65" i="6" s="1"/>
  <c r="T66" i="6" s="1"/>
  <c r="T67" i="6" s="1"/>
  <c r="T68" i="6" s="1"/>
  <c r="T69" i="6" s="1"/>
  <c r="T70" i="6" s="1"/>
  <c r="T71" i="6" s="1"/>
  <c r="T72" i="6" s="1"/>
  <c r="T73" i="6" s="1"/>
  <c r="T74" i="6" s="1"/>
  <c r="T75" i="6" s="1"/>
  <c r="T76" i="6" s="1"/>
  <c r="T77" i="6" s="1"/>
  <c r="T78" i="6" s="1"/>
  <c r="T79" i="6" s="1"/>
  <c r="T80" i="6" s="1"/>
  <c r="T81" i="6" s="1"/>
  <c r="T82" i="6" s="1"/>
  <c r="T83" i="6" s="1"/>
  <c r="T84" i="6" s="1"/>
  <c r="T85" i="6" s="1"/>
  <c r="T86" i="6" s="1"/>
  <c r="T87" i="6" s="1"/>
  <c r="T88" i="6" s="1"/>
  <c r="T89" i="6" s="1"/>
  <c r="T90" i="6" s="1"/>
  <c r="T91" i="6" s="1"/>
  <c r="T92" i="6" s="1"/>
  <c r="B28" i="6" s="1"/>
  <c r="M3" i="6"/>
  <c r="M4" i="6" s="1"/>
  <c r="M5" i="6" s="1"/>
  <c r="M6" i="6" s="1"/>
  <c r="M7" i="6" s="1"/>
  <c r="M8" i="6" s="1"/>
  <c r="M9" i="6" s="1"/>
  <c r="M10" i="6" s="1"/>
  <c r="M11" i="6" s="1"/>
  <c r="M12" i="6" s="1"/>
  <c r="M13" i="6" s="1"/>
  <c r="M14" i="6" s="1"/>
  <c r="M15" i="6" s="1"/>
  <c r="M16" i="6" s="1"/>
  <c r="M17" i="6" s="1"/>
  <c r="M18" i="6" s="1"/>
  <c r="M19" i="6" s="1"/>
  <c r="M20" i="6" s="1"/>
  <c r="M21" i="6" s="1"/>
  <c r="M22" i="6" s="1"/>
  <c r="M23" i="6" s="1"/>
  <c r="M24" i="6" s="1"/>
  <c r="M25" i="6" s="1"/>
  <c r="M26" i="6" s="1"/>
  <c r="M27" i="6" s="1"/>
  <c r="M28" i="6" s="1"/>
  <c r="M29" i="6" s="1"/>
  <c r="M30" i="6" s="1"/>
  <c r="M31" i="6" s="1"/>
  <c r="M32" i="6" s="1"/>
  <c r="M33" i="6" s="1"/>
  <c r="M34" i="6" s="1"/>
  <c r="M35" i="6" s="1"/>
  <c r="M36" i="6" s="1"/>
  <c r="M37" i="6" s="1"/>
  <c r="M38" i="6" s="1"/>
  <c r="M39" i="6" s="1"/>
  <c r="M40" i="6" s="1"/>
  <c r="M41" i="6" s="1"/>
  <c r="M42" i="6" s="1"/>
  <c r="M43" i="6" s="1"/>
  <c r="M44" i="6" s="1"/>
  <c r="M45" i="6" s="1"/>
  <c r="M46" i="6" s="1"/>
  <c r="M47" i="6" s="1"/>
  <c r="M48" i="6" s="1"/>
  <c r="M49" i="6" s="1"/>
  <c r="M50" i="6" s="1"/>
  <c r="M51" i="6" s="1"/>
  <c r="M52" i="6" s="1"/>
  <c r="M53" i="6" s="1"/>
  <c r="M54" i="6" s="1"/>
  <c r="M55" i="6" s="1"/>
  <c r="M56" i="6" s="1"/>
  <c r="M57" i="6" s="1"/>
  <c r="M58" i="6" s="1"/>
  <c r="M59" i="6" s="1"/>
  <c r="M60" i="6" s="1"/>
  <c r="M61" i="6" s="1"/>
  <c r="M62" i="6" s="1"/>
  <c r="M63" i="6" s="1"/>
  <c r="M64" i="6" s="1"/>
  <c r="M65" i="6" s="1"/>
  <c r="M66" i="6" s="1"/>
  <c r="M67" i="6" s="1"/>
  <c r="M68" i="6" s="1"/>
  <c r="M69" i="6" s="1"/>
  <c r="M70" i="6" s="1"/>
  <c r="M71" i="6" s="1"/>
  <c r="M72" i="6" s="1"/>
  <c r="M73" i="6" s="1"/>
  <c r="M74" i="6" s="1"/>
  <c r="M75" i="6" s="1"/>
  <c r="M76" i="6" s="1"/>
  <c r="M77" i="6" s="1"/>
  <c r="M78" i="6" s="1"/>
  <c r="M79" i="6" s="1"/>
  <c r="M80" i="6" s="1"/>
  <c r="M81" i="6" s="1"/>
  <c r="M82" i="6" s="1"/>
  <c r="M83" i="6" s="1"/>
  <c r="M84" i="6" s="1"/>
  <c r="M85" i="6" s="1"/>
  <c r="M86" i="6" s="1"/>
  <c r="M87" i="6" s="1"/>
  <c r="M88" i="6" s="1"/>
  <c r="M89" i="6" s="1"/>
  <c r="M90" i="6" s="1"/>
  <c r="M91" i="6" s="1"/>
  <c r="M92" i="6" s="1"/>
  <c r="C25" i="6" s="1"/>
  <c r="N3" i="6"/>
  <c r="N4" i="6" s="1"/>
  <c r="N5" i="6" s="1"/>
  <c r="N6" i="6" s="1"/>
  <c r="N7" i="6" s="1"/>
  <c r="N8" i="6" s="1"/>
  <c r="N9" i="6" s="1"/>
  <c r="N10" i="6" s="1"/>
  <c r="N11" i="6" s="1"/>
  <c r="N12" i="6" s="1"/>
  <c r="N13" i="6" s="1"/>
  <c r="N14" i="6" s="1"/>
  <c r="N15" i="6" s="1"/>
  <c r="N16" i="6" s="1"/>
  <c r="N17" i="6" s="1"/>
  <c r="N18" i="6" s="1"/>
  <c r="N19" i="6" s="1"/>
  <c r="N20" i="6" s="1"/>
  <c r="N21" i="6" s="1"/>
  <c r="N22" i="6" s="1"/>
  <c r="N23" i="6" s="1"/>
  <c r="N24" i="6" s="1"/>
  <c r="N25" i="6" s="1"/>
  <c r="N26" i="6" s="1"/>
  <c r="N27" i="6" s="1"/>
  <c r="N28" i="6" s="1"/>
  <c r="N29" i="6" s="1"/>
  <c r="N30" i="6" s="1"/>
  <c r="N31" i="6" s="1"/>
  <c r="N32" i="6" s="1"/>
  <c r="N33" i="6" s="1"/>
  <c r="N34" i="6" s="1"/>
  <c r="N35" i="6" s="1"/>
  <c r="N36" i="6" s="1"/>
  <c r="N37" i="6" s="1"/>
  <c r="N38" i="6" s="1"/>
  <c r="N39" i="6" s="1"/>
  <c r="N40" i="6" s="1"/>
  <c r="N41" i="6" s="1"/>
  <c r="N42" i="6" s="1"/>
  <c r="N43" i="6" s="1"/>
  <c r="N44" i="6" s="1"/>
  <c r="N45" i="6" s="1"/>
  <c r="N46" i="6" s="1"/>
  <c r="N47" i="6" s="1"/>
  <c r="N48" i="6" s="1"/>
  <c r="N49" i="6" s="1"/>
  <c r="N50" i="6" s="1"/>
  <c r="N51" i="6" s="1"/>
  <c r="N52" i="6" s="1"/>
  <c r="N53" i="6" s="1"/>
  <c r="N54" i="6" s="1"/>
  <c r="N55" i="6" s="1"/>
  <c r="N56" i="6" s="1"/>
  <c r="N57" i="6" s="1"/>
  <c r="N58" i="6" s="1"/>
  <c r="N59" i="6" s="1"/>
  <c r="N60" i="6" s="1"/>
  <c r="N61" i="6" s="1"/>
  <c r="N62" i="6" s="1"/>
  <c r="N63" i="6" s="1"/>
  <c r="N64" i="6" s="1"/>
  <c r="N65" i="6" s="1"/>
  <c r="N66" i="6" s="1"/>
  <c r="N67" i="6" s="1"/>
  <c r="N68" i="6" s="1"/>
  <c r="N69" i="6" s="1"/>
  <c r="N70" i="6" s="1"/>
  <c r="N71" i="6" s="1"/>
  <c r="N72" i="6" s="1"/>
  <c r="N73" i="6" s="1"/>
  <c r="N74" i="6" s="1"/>
  <c r="N75" i="6" s="1"/>
  <c r="N76" i="6" s="1"/>
  <c r="N77" i="6" s="1"/>
  <c r="N78" i="6" s="1"/>
  <c r="N79" i="6" s="1"/>
  <c r="N80" i="6" s="1"/>
  <c r="N81" i="6" s="1"/>
  <c r="N82" i="6" s="1"/>
  <c r="N83" i="6" s="1"/>
  <c r="N84" i="6" s="1"/>
  <c r="N85" i="6" s="1"/>
  <c r="N86" i="6" s="1"/>
  <c r="N87" i="6" s="1"/>
  <c r="N88" i="6" s="1"/>
  <c r="N89" i="6" s="1"/>
  <c r="N90" i="6" s="1"/>
  <c r="N91" i="6" s="1"/>
  <c r="N92" i="6" s="1"/>
  <c r="D25" i="6" s="1"/>
  <c r="O3" i="6"/>
  <c r="O4" i="6" s="1"/>
  <c r="O5" i="6" s="1"/>
  <c r="O6" i="6" s="1"/>
  <c r="O7" i="6" s="1"/>
  <c r="O8" i="6" s="1"/>
  <c r="O9" i="6" s="1"/>
  <c r="O10" i="6" s="1"/>
  <c r="O11" i="6" s="1"/>
  <c r="O12" i="6" s="1"/>
  <c r="O13" i="6" s="1"/>
  <c r="O14" i="6" s="1"/>
  <c r="O15" i="6" s="1"/>
  <c r="O16" i="6" s="1"/>
  <c r="O17" i="6" s="1"/>
  <c r="O18" i="6" s="1"/>
  <c r="O19" i="6" s="1"/>
  <c r="O20" i="6" s="1"/>
  <c r="O21" i="6" s="1"/>
  <c r="O22" i="6" s="1"/>
  <c r="O23" i="6" s="1"/>
  <c r="O24" i="6" s="1"/>
  <c r="O25" i="6" s="1"/>
  <c r="O26" i="6" s="1"/>
  <c r="O27" i="6" s="1"/>
  <c r="O28" i="6" s="1"/>
  <c r="O29" i="6" s="1"/>
  <c r="O30" i="6" s="1"/>
  <c r="O31" i="6" s="1"/>
  <c r="O32" i="6" s="1"/>
  <c r="O33" i="6" s="1"/>
  <c r="O34" i="6" s="1"/>
  <c r="O35" i="6" s="1"/>
  <c r="O36" i="6" s="1"/>
  <c r="O37" i="6" s="1"/>
  <c r="O38" i="6" s="1"/>
  <c r="O39" i="6" s="1"/>
  <c r="O40" i="6" s="1"/>
  <c r="O41" i="6" s="1"/>
  <c r="O42" i="6" s="1"/>
  <c r="O43" i="6" s="1"/>
  <c r="O44" i="6" s="1"/>
  <c r="O45" i="6" s="1"/>
  <c r="O46" i="6" s="1"/>
  <c r="O47" i="6" s="1"/>
  <c r="O48" i="6" s="1"/>
  <c r="O49" i="6" s="1"/>
  <c r="O50" i="6" s="1"/>
  <c r="O51" i="6" s="1"/>
  <c r="O52" i="6" s="1"/>
  <c r="O53" i="6" s="1"/>
  <c r="O54" i="6" s="1"/>
  <c r="O55" i="6" s="1"/>
  <c r="O56" i="6" s="1"/>
  <c r="O57" i="6" s="1"/>
  <c r="O58" i="6" s="1"/>
  <c r="O59" i="6" s="1"/>
  <c r="O60" i="6" s="1"/>
  <c r="O61" i="6" s="1"/>
  <c r="O62" i="6" s="1"/>
  <c r="O63" i="6" s="1"/>
  <c r="O64" i="6" s="1"/>
  <c r="O65" i="6" s="1"/>
  <c r="O66" i="6" s="1"/>
  <c r="O67" i="6" s="1"/>
  <c r="O68" i="6" s="1"/>
  <c r="O69" i="6" s="1"/>
  <c r="O70" i="6" s="1"/>
  <c r="O71" i="6" s="1"/>
  <c r="O72" i="6" s="1"/>
  <c r="O73" i="6" s="1"/>
  <c r="O74" i="6" s="1"/>
  <c r="O75" i="6" s="1"/>
  <c r="O76" i="6" s="1"/>
  <c r="O77" i="6" s="1"/>
  <c r="O78" i="6" s="1"/>
  <c r="O79" i="6" s="1"/>
  <c r="O80" i="6" s="1"/>
  <c r="O81" i="6" s="1"/>
  <c r="O82" i="6" s="1"/>
  <c r="O83" i="6" s="1"/>
  <c r="O84" i="6" s="1"/>
  <c r="O85" i="6" s="1"/>
  <c r="O86" i="6" s="1"/>
  <c r="O87" i="6" s="1"/>
  <c r="O88" i="6" s="1"/>
  <c r="O89" i="6" s="1"/>
  <c r="O90" i="6" s="1"/>
  <c r="O91" i="6" s="1"/>
  <c r="O92" i="6" s="1"/>
  <c r="E25" i="6" s="1"/>
  <c r="P3" i="6"/>
  <c r="P4" i="6" s="1"/>
  <c r="P5" i="6" s="1"/>
  <c r="P6" i="6" s="1"/>
  <c r="P7" i="6" s="1"/>
  <c r="P8" i="6" s="1"/>
  <c r="P9" i="6" s="1"/>
  <c r="P10" i="6" s="1"/>
  <c r="P11" i="6" s="1"/>
  <c r="P12" i="6" s="1"/>
  <c r="P13" i="6" s="1"/>
  <c r="P14" i="6" s="1"/>
  <c r="P15" i="6" s="1"/>
  <c r="P16" i="6" s="1"/>
  <c r="P17" i="6" s="1"/>
  <c r="P18" i="6" s="1"/>
  <c r="P19" i="6" s="1"/>
  <c r="P20" i="6" s="1"/>
  <c r="P21" i="6" s="1"/>
  <c r="P22" i="6" s="1"/>
  <c r="P23" i="6" s="1"/>
  <c r="P24" i="6" s="1"/>
  <c r="P25" i="6" s="1"/>
  <c r="P26" i="6" s="1"/>
  <c r="P27" i="6" s="1"/>
  <c r="P28" i="6" s="1"/>
  <c r="P29" i="6" s="1"/>
  <c r="P30" i="6" s="1"/>
  <c r="P31" i="6" s="1"/>
  <c r="P32" i="6" s="1"/>
  <c r="P33" i="6" s="1"/>
  <c r="P34" i="6" s="1"/>
  <c r="P35" i="6" s="1"/>
  <c r="P36" i="6" s="1"/>
  <c r="P37" i="6" s="1"/>
  <c r="P38" i="6" s="1"/>
  <c r="P39" i="6" s="1"/>
  <c r="P40" i="6" s="1"/>
  <c r="P41" i="6" s="1"/>
  <c r="P42" i="6" s="1"/>
  <c r="P43" i="6" s="1"/>
  <c r="P44" i="6" s="1"/>
  <c r="P45" i="6" s="1"/>
  <c r="P46" i="6" s="1"/>
  <c r="P47" i="6" s="1"/>
  <c r="P48" i="6" s="1"/>
  <c r="P49" i="6" s="1"/>
  <c r="P50" i="6" s="1"/>
  <c r="P51" i="6" s="1"/>
  <c r="P52" i="6" s="1"/>
  <c r="P53" i="6" s="1"/>
  <c r="P54" i="6" s="1"/>
  <c r="P55" i="6" s="1"/>
  <c r="P56" i="6" s="1"/>
  <c r="P57" i="6" s="1"/>
  <c r="P58" i="6" s="1"/>
  <c r="P59" i="6" s="1"/>
  <c r="P60" i="6" s="1"/>
  <c r="P61" i="6" s="1"/>
  <c r="P62" i="6" s="1"/>
  <c r="P63" i="6" s="1"/>
  <c r="P64" i="6" s="1"/>
  <c r="P65" i="6" s="1"/>
  <c r="P66" i="6" s="1"/>
  <c r="P67" i="6" s="1"/>
  <c r="P68" i="6" s="1"/>
  <c r="P69" i="6" s="1"/>
  <c r="P70" i="6" s="1"/>
  <c r="P71" i="6" s="1"/>
  <c r="P72" i="6" s="1"/>
  <c r="P73" i="6" s="1"/>
  <c r="P74" i="6" s="1"/>
  <c r="P75" i="6" s="1"/>
  <c r="P76" i="6" s="1"/>
  <c r="P77" i="6" s="1"/>
  <c r="P78" i="6" s="1"/>
  <c r="P79" i="6" s="1"/>
  <c r="P80" i="6" s="1"/>
  <c r="P81" i="6" s="1"/>
  <c r="P82" i="6" s="1"/>
  <c r="P83" i="6" s="1"/>
  <c r="P84" i="6" s="1"/>
  <c r="P85" i="6" s="1"/>
  <c r="P86" i="6" s="1"/>
  <c r="P87" i="6" s="1"/>
  <c r="P88" i="6" s="1"/>
  <c r="P89" i="6" s="1"/>
  <c r="P90" i="6" s="1"/>
  <c r="P91" i="6" s="1"/>
  <c r="P92" i="6" s="1"/>
  <c r="F25" i="6" s="1"/>
  <c r="L3" i="6"/>
  <c r="L4" i="6" s="1"/>
  <c r="L5" i="6" s="1"/>
  <c r="L6" i="6" s="1"/>
  <c r="L7" i="6" s="1"/>
  <c r="L8" i="6" s="1"/>
  <c r="L9" i="6" s="1"/>
  <c r="L10" i="6" s="1"/>
  <c r="L11" i="6" s="1"/>
  <c r="L12" i="6" s="1"/>
  <c r="L13" i="6" s="1"/>
  <c r="L14" i="6" s="1"/>
  <c r="L15" i="6" s="1"/>
  <c r="L16" i="6" s="1"/>
  <c r="L17" i="6" s="1"/>
  <c r="L18" i="6" s="1"/>
  <c r="L19" i="6" s="1"/>
  <c r="L20" i="6" s="1"/>
  <c r="L21" i="6" s="1"/>
  <c r="L22" i="6" s="1"/>
  <c r="L23" i="6" s="1"/>
  <c r="L24" i="6" s="1"/>
  <c r="L25" i="6" s="1"/>
  <c r="L26" i="6" s="1"/>
  <c r="L27" i="6" s="1"/>
  <c r="L28" i="6" s="1"/>
  <c r="L29" i="6" s="1"/>
  <c r="L30" i="6" s="1"/>
  <c r="L31" i="6" s="1"/>
  <c r="L32" i="6" s="1"/>
  <c r="L33" i="6" s="1"/>
  <c r="L34" i="6" s="1"/>
  <c r="L35" i="6" s="1"/>
  <c r="L36" i="6" s="1"/>
  <c r="L37" i="6" s="1"/>
  <c r="L38" i="6" s="1"/>
  <c r="L39" i="6" s="1"/>
  <c r="L40" i="6" s="1"/>
  <c r="L41" i="6" s="1"/>
  <c r="L42" i="6" s="1"/>
  <c r="L43" i="6" s="1"/>
  <c r="L44" i="6" s="1"/>
  <c r="L45" i="6" s="1"/>
  <c r="L46" i="6" s="1"/>
  <c r="L47" i="6" s="1"/>
  <c r="L48" i="6" s="1"/>
  <c r="L49" i="6" s="1"/>
  <c r="L50" i="6" s="1"/>
  <c r="L51" i="6" s="1"/>
  <c r="L52" i="6" s="1"/>
  <c r="L53" i="6" s="1"/>
  <c r="L54" i="6" s="1"/>
  <c r="L55" i="6" s="1"/>
  <c r="L56" i="6" s="1"/>
  <c r="L57" i="6" s="1"/>
  <c r="L58" i="6" s="1"/>
  <c r="L59" i="6" s="1"/>
  <c r="L60" i="6" s="1"/>
  <c r="L61" i="6" s="1"/>
  <c r="L62" i="6" s="1"/>
  <c r="L63" i="6" s="1"/>
  <c r="L64" i="6" s="1"/>
  <c r="L65" i="6" s="1"/>
  <c r="L66" i="6" s="1"/>
  <c r="L67" i="6" s="1"/>
  <c r="L68" i="6" s="1"/>
  <c r="L69" i="6" s="1"/>
  <c r="L70" i="6" s="1"/>
  <c r="L71" i="6" s="1"/>
  <c r="L72" i="6" s="1"/>
  <c r="L73" i="6" s="1"/>
  <c r="L74" i="6" s="1"/>
  <c r="L75" i="6" s="1"/>
  <c r="L76" i="6" s="1"/>
  <c r="L77" i="6" s="1"/>
  <c r="L78" i="6" s="1"/>
  <c r="L79" i="6" s="1"/>
  <c r="L80" i="6" s="1"/>
  <c r="L81" i="6" s="1"/>
  <c r="L82" i="6" s="1"/>
  <c r="L83" i="6" s="1"/>
  <c r="L84" i="6" s="1"/>
  <c r="L85" i="6" s="1"/>
  <c r="L86" i="6" s="1"/>
  <c r="L87" i="6" s="1"/>
  <c r="L88" i="6" s="1"/>
  <c r="L89" i="6" s="1"/>
  <c r="L90" i="6" s="1"/>
  <c r="L91" i="6" s="1"/>
  <c r="L92" i="6" s="1"/>
  <c r="B25" i="6" s="1"/>
  <c r="M1" i="6"/>
  <c r="U1" i="6" s="1"/>
  <c r="N1" i="6"/>
  <c r="V1" i="6" s="1"/>
  <c r="O1" i="6"/>
  <c r="W1" i="6" s="1"/>
  <c r="P1" i="6"/>
  <c r="X1" i="6" s="1"/>
  <c r="M2" i="6"/>
  <c r="U2" i="6" s="1"/>
  <c r="C27" i="6" s="1"/>
  <c r="N2" i="6"/>
  <c r="V2" i="6" s="1"/>
  <c r="D27" i="6" s="1"/>
  <c r="O2" i="6"/>
  <c r="W2" i="6" s="1"/>
  <c r="E27" i="6" s="1"/>
  <c r="P2" i="6"/>
  <c r="F24" i="6" s="1"/>
  <c r="L2" i="6"/>
  <c r="T2" i="6" s="1"/>
  <c r="B27" i="6" s="1"/>
  <c r="L1" i="6"/>
  <c r="T1" i="6" s="1"/>
  <c r="U3" i="4"/>
  <c r="U4" i="4" s="1"/>
  <c r="U5" i="4" s="1"/>
  <c r="U6" i="4" s="1"/>
  <c r="U7" i="4" s="1"/>
  <c r="U8" i="4" s="1"/>
  <c r="U9" i="4" s="1"/>
  <c r="U10" i="4" s="1"/>
  <c r="U11" i="4" s="1"/>
  <c r="U12" i="4" s="1"/>
  <c r="U13" i="4" s="1"/>
  <c r="U14" i="4" s="1"/>
  <c r="U15" i="4" s="1"/>
  <c r="U16" i="4" s="1"/>
  <c r="U17" i="4" s="1"/>
  <c r="U18" i="4" s="1"/>
  <c r="U19" i="4" s="1"/>
  <c r="U20" i="4" s="1"/>
  <c r="U21" i="4" s="1"/>
  <c r="U22" i="4" s="1"/>
  <c r="U23" i="4" s="1"/>
  <c r="U24" i="4" s="1"/>
  <c r="U25" i="4" s="1"/>
  <c r="U26" i="4" s="1"/>
  <c r="U27" i="4" s="1"/>
  <c r="U28" i="4" s="1"/>
  <c r="U29" i="4" s="1"/>
  <c r="U30" i="4" s="1"/>
  <c r="U31" i="4" s="1"/>
  <c r="U32" i="4" s="1"/>
  <c r="U33" i="4" s="1"/>
  <c r="U34" i="4" s="1"/>
  <c r="U35" i="4" s="1"/>
  <c r="U36" i="4" s="1"/>
  <c r="U37" i="4" s="1"/>
  <c r="U38" i="4" s="1"/>
  <c r="U39" i="4" s="1"/>
  <c r="U40" i="4" s="1"/>
  <c r="U41" i="4" s="1"/>
  <c r="U42" i="4" s="1"/>
  <c r="U43" i="4" s="1"/>
  <c r="U44" i="4" s="1"/>
  <c r="U45" i="4" s="1"/>
  <c r="U46" i="4" s="1"/>
  <c r="U47" i="4" s="1"/>
  <c r="U48" i="4" s="1"/>
  <c r="U49" i="4" s="1"/>
  <c r="U50" i="4" s="1"/>
  <c r="U51" i="4" s="1"/>
  <c r="U52" i="4" s="1"/>
  <c r="U53" i="4" s="1"/>
  <c r="U54" i="4" s="1"/>
  <c r="U55" i="4" s="1"/>
  <c r="U56" i="4" s="1"/>
  <c r="U57" i="4" s="1"/>
  <c r="U58" i="4" s="1"/>
  <c r="U59" i="4" s="1"/>
  <c r="U60" i="4" s="1"/>
  <c r="U61" i="4" s="1"/>
  <c r="U62" i="4" s="1"/>
  <c r="U63" i="4" s="1"/>
  <c r="U64" i="4" s="1"/>
  <c r="U65" i="4" s="1"/>
  <c r="U66" i="4" s="1"/>
  <c r="U67" i="4" s="1"/>
  <c r="U68" i="4" s="1"/>
  <c r="U69" i="4" s="1"/>
  <c r="U70" i="4" s="1"/>
  <c r="U71" i="4" s="1"/>
  <c r="U72" i="4" s="1"/>
  <c r="U73" i="4" s="1"/>
  <c r="U74" i="4" s="1"/>
  <c r="U75" i="4" s="1"/>
  <c r="U76" i="4" s="1"/>
  <c r="U77" i="4" s="1"/>
  <c r="U78" i="4" s="1"/>
  <c r="U79" i="4" s="1"/>
  <c r="U80" i="4" s="1"/>
  <c r="U81" i="4" s="1"/>
  <c r="U82" i="4" s="1"/>
  <c r="U83" i="4" s="1"/>
  <c r="U84" i="4" s="1"/>
  <c r="U85" i="4" s="1"/>
  <c r="U86" i="4" s="1"/>
  <c r="U87" i="4" s="1"/>
  <c r="U88" i="4" s="1"/>
  <c r="U89" i="4" s="1"/>
  <c r="U90" i="4" s="1"/>
  <c r="U91" i="4" s="1"/>
  <c r="U92" i="4" s="1"/>
  <c r="C28" i="4" s="1"/>
  <c r="V3" i="4"/>
  <c r="V4" i="4" s="1"/>
  <c r="V5" i="4" s="1"/>
  <c r="V6" i="4" s="1"/>
  <c r="V7" i="4" s="1"/>
  <c r="V8" i="4" s="1"/>
  <c r="V9" i="4" s="1"/>
  <c r="V10" i="4" s="1"/>
  <c r="V11" i="4" s="1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V34" i="4" s="1"/>
  <c r="V35" i="4" s="1"/>
  <c r="V36" i="4" s="1"/>
  <c r="V37" i="4" s="1"/>
  <c r="V38" i="4" s="1"/>
  <c r="V39" i="4" s="1"/>
  <c r="V40" i="4" s="1"/>
  <c r="V41" i="4" s="1"/>
  <c r="V42" i="4" s="1"/>
  <c r="V43" i="4" s="1"/>
  <c r="V44" i="4" s="1"/>
  <c r="V45" i="4" s="1"/>
  <c r="V46" i="4" s="1"/>
  <c r="V47" i="4" s="1"/>
  <c r="V48" i="4" s="1"/>
  <c r="V49" i="4" s="1"/>
  <c r="V50" i="4" s="1"/>
  <c r="V51" i="4" s="1"/>
  <c r="V52" i="4" s="1"/>
  <c r="V53" i="4" s="1"/>
  <c r="V54" i="4" s="1"/>
  <c r="V55" i="4" s="1"/>
  <c r="V56" i="4" s="1"/>
  <c r="V57" i="4" s="1"/>
  <c r="V58" i="4" s="1"/>
  <c r="V59" i="4" s="1"/>
  <c r="V60" i="4" s="1"/>
  <c r="V61" i="4" s="1"/>
  <c r="V62" i="4" s="1"/>
  <c r="V63" i="4" s="1"/>
  <c r="V64" i="4" s="1"/>
  <c r="V65" i="4" s="1"/>
  <c r="V66" i="4" s="1"/>
  <c r="V67" i="4" s="1"/>
  <c r="V68" i="4" s="1"/>
  <c r="V69" i="4" s="1"/>
  <c r="V70" i="4" s="1"/>
  <c r="V71" i="4" s="1"/>
  <c r="V72" i="4" s="1"/>
  <c r="V73" i="4" s="1"/>
  <c r="V74" i="4" s="1"/>
  <c r="V75" i="4" s="1"/>
  <c r="V76" i="4" s="1"/>
  <c r="V77" i="4" s="1"/>
  <c r="V78" i="4" s="1"/>
  <c r="V79" i="4" s="1"/>
  <c r="V80" i="4" s="1"/>
  <c r="V81" i="4" s="1"/>
  <c r="V82" i="4" s="1"/>
  <c r="V83" i="4" s="1"/>
  <c r="V84" i="4" s="1"/>
  <c r="V85" i="4" s="1"/>
  <c r="V86" i="4" s="1"/>
  <c r="V87" i="4" s="1"/>
  <c r="V88" i="4" s="1"/>
  <c r="V89" i="4" s="1"/>
  <c r="V90" i="4" s="1"/>
  <c r="V91" i="4" s="1"/>
  <c r="V92" i="4" s="1"/>
  <c r="D28" i="4" s="1"/>
  <c r="W3" i="4"/>
  <c r="W4" i="4" s="1"/>
  <c r="W5" i="4" s="1"/>
  <c r="W6" i="4" s="1"/>
  <c r="W7" i="4" s="1"/>
  <c r="W8" i="4" s="1"/>
  <c r="W9" i="4" s="1"/>
  <c r="W10" i="4" s="1"/>
  <c r="W11" i="4" s="1"/>
  <c r="W12" i="4" s="1"/>
  <c r="W13" i="4" s="1"/>
  <c r="W14" i="4" s="1"/>
  <c r="W15" i="4" s="1"/>
  <c r="W16" i="4" s="1"/>
  <c r="W17" i="4" s="1"/>
  <c r="W18" i="4" s="1"/>
  <c r="W19" i="4" s="1"/>
  <c r="W20" i="4" s="1"/>
  <c r="W21" i="4" s="1"/>
  <c r="W22" i="4" s="1"/>
  <c r="W23" i="4" s="1"/>
  <c r="W24" i="4" s="1"/>
  <c r="W25" i="4" s="1"/>
  <c r="W26" i="4" s="1"/>
  <c r="W27" i="4" s="1"/>
  <c r="W28" i="4" s="1"/>
  <c r="W29" i="4" s="1"/>
  <c r="W30" i="4" s="1"/>
  <c r="W31" i="4" s="1"/>
  <c r="W32" i="4" s="1"/>
  <c r="W33" i="4" s="1"/>
  <c r="W34" i="4" s="1"/>
  <c r="W35" i="4" s="1"/>
  <c r="W36" i="4" s="1"/>
  <c r="W37" i="4" s="1"/>
  <c r="W38" i="4" s="1"/>
  <c r="W39" i="4" s="1"/>
  <c r="W40" i="4" s="1"/>
  <c r="W41" i="4" s="1"/>
  <c r="W42" i="4" s="1"/>
  <c r="W43" i="4" s="1"/>
  <c r="W44" i="4" s="1"/>
  <c r="W45" i="4" s="1"/>
  <c r="W46" i="4" s="1"/>
  <c r="W47" i="4" s="1"/>
  <c r="W48" i="4" s="1"/>
  <c r="W49" i="4" s="1"/>
  <c r="W50" i="4" s="1"/>
  <c r="W51" i="4" s="1"/>
  <c r="W52" i="4" s="1"/>
  <c r="W53" i="4" s="1"/>
  <c r="W54" i="4" s="1"/>
  <c r="W55" i="4" s="1"/>
  <c r="W56" i="4" s="1"/>
  <c r="W57" i="4" s="1"/>
  <c r="W58" i="4" s="1"/>
  <c r="W59" i="4" s="1"/>
  <c r="W60" i="4" s="1"/>
  <c r="W61" i="4" s="1"/>
  <c r="W62" i="4" s="1"/>
  <c r="W63" i="4" s="1"/>
  <c r="W64" i="4" s="1"/>
  <c r="W65" i="4" s="1"/>
  <c r="W66" i="4" s="1"/>
  <c r="W67" i="4" s="1"/>
  <c r="W68" i="4" s="1"/>
  <c r="W69" i="4" s="1"/>
  <c r="W70" i="4" s="1"/>
  <c r="W71" i="4" s="1"/>
  <c r="W72" i="4" s="1"/>
  <c r="W73" i="4" s="1"/>
  <c r="W74" i="4" s="1"/>
  <c r="W75" i="4" s="1"/>
  <c r="W76" i="4" s="1"/>
  <c r="W77" i="4" s="1"/>
  <c r="W78" i="4" s="1"/>
  <c r="W79" i="4" s="1"/>
  <c r="W80" i="4" s="1"/>
  <c r="W81" i="4" s="1"/>
  <c r="W82" i="4" s="1"/>
  <c r="W83" i="4" s="1"/>
  <c r="W84" i="4" s="1"/>
  <c r="W85" i="4" s="1"/>
  <c r="W86" i="4" s="1"/>
  <c r="W87" i="4" s="1"/>
  <c r="W88" i="4" s="1"/>
  <c r="W89" i="4" s="1"/>
  <c r="W90" i="4" s="1"/>
  <c r="W91" i="4" s="1"/>
  <c r="W92" i="4" s="1"/>
  <c r="E28" i="4" s="1"/>
  <c r="X3" i="4"/>
  <c r="X4" i="4" s="1"/>
  <c r="X5" i="4" s="1"/>
  <c r="X6" i="4" s="1"/>
  <c r="X7" i="4" s="1"/>
  <c r="X8" i="4" s="1"/>
  <c r="X9" i="4" s="1"/>
  <c r="X10" i="4" s="1"/>
  <c r="X11" i="4" s="1"/>
  <c r="X12" i="4" s="1"/>
  <c r="X13" i="4" s="1"/>
  <c r="X14" i="4" s="1"/>
  <c r="X15" i="4" s="1"/>
  <c r="X16" i="4" s="1"/>
  <c r="X17" i="4" s="1"/>
  <c r="X18" i="4" s="1"/>
  <c r="X19" i="4" s="1"/>
  <c r="X20" i="4" s="1"/>
  <c r="X21" i="4" s="1"/>
  <c r="X22" i="4" s="1"/>
  <c r="X23" i="4" s="1"/>
  <c r="X24" i="4" s="1"/>
  <c r="X25" i="4" s="1"/>
  <c r="X26" i="4" s="1"/>
  <c r="X27" i="4" s="1"/>
  <c r="X28" i="4" s="1"/>
  <c r="X29" i="4" s="1"/>
  <c r="X30" i="4" s="1"/>
  <c r="X31" i="4" s="1"/>
  <c r="X32" i="4" s="1"/>
  <c r="X33" i="4" s="1"/>
  <c r="X34" i="4" s="1"/>
  <c r="X35" i="4" s="1"/>
  <c r="X36" i="4" s="1"/>
  <c r="X37" i="4" s="1"/>
  <c r="X38" i="4" s="1"/>
  <c r="X39" i="4" s="1"/>
  <c r="X40" i="4" s="1"/>
  <c r="X41" i="4" s="1"/>
  <c r="X42" i="4" s="1"/>
  <c r="X43" i="4" s="1"/>
  <c r="X44" i="4" s="1"/>
  <c r="X45" i="4" s="1"/>
  <c r="X46" i="4" s="1"/>
  <c r="X47" i="4" s="1"/>
  <c r="X48" i="4" s="1"/>
  <c r="X49" i="4" s="1"/>
  <c r="X50" i="4" s="1"/>
  <c r="X51" i="4" s="1"/>
  <c r="X52" i="4" s="1"/>
  <c r="X53" i="4" s="1"/>
  <c r="X54" i="4" s="1"/>
  <c r="X55" i="4" s="1"/>
  <c r="X56" i="4" s="1"/>
  <c r="X57" i="4" s="1"/>
  <c r="X58" i="4" s="1"/>
  <c r="X59" i="4" s="1"/>
  <c r="X60" i="4" s="1"/>
  <c r="X61" i="4" s="1"/>
  <c r="X62" i="4" s="1"/>
  <c r="X63" i="4" s="1"/>
  <c r="X64" i="4" s="1"/>
  <c r="X65" i="4" s="1"/>
  <c r="X66" i="4" s="1"/>
  <c r="X67" i="4" s="1"/>
  <c r="X68" i="4" s="1"/>
  <c r="X69" i="4" s="1"/>
  <c r="X70" i="4" s="1"/>
  <c r="X71" i="4" s="1"/>
  <c r="X72" i="4" s="1"/>
  <c r="X73" i="4" s="1"/>
  <c r="X74" i="4" s="1"/>
  <c r="X75" i="4" s="1"/>
  <c r="X76" i="4" s="1"/>
  <c r="X77" i="4" s="1"/>
  <c r="X78" i="4" s="1"/>
  <c r="X79" i="4" s="1"/>
  <c r="X80" i="4" s="1"/>
  <c r="X81" i="4" s="1"/>
  <c r="X82" i="4" s="1"/>
  <c r="X83" i="4" s="1"/>
  <c r="X84" i="4" s="1"/>
  <c r="X85" i="4" s="1"/>
  <c r="X86" i="4" s="1"/>
  <c r="X87" i="4" s="1"/>
  <c r="X88" i="4" s="1"/>
  <c r="X89" i="4" s="1"/>
  <c r="X90" i="4" s="1"/>
  <c r="X91" i="4" s="1"/>
  <c r="X92" i="4" s="1"/>
  <c r="F28" i="4" s="1"/>
  <c r="Y3" i="4"/>
  <c r="Y4" i="4" s="1"/>
  <c r="Y5" i="4" s="1"/>
  <c r="Y6" i="4" s="1"/>
  <c r="Y7" i="4" s="1"/>
  <c r="Y8" i="4" s="1"/>
  <c r="Y9" i="4" s="1"/>
  <c r="Y10" i="4" s="1"/>
  <c r="Y11" i="4" s="1"/>
  <c r="Y12" i="4" s="1"/>
  <c r="Y13" i="4" s="1"/>
  <c r="Y14" i="4" s="1"/>
  <c r="Y15" i="4" s="1"/>
  <c r="Y16" i="4" s="1"/>
  <c r="Y17" i="4" s="1"/>
  <c r="Y18" i="4" s="1"/>
  <c r="Y19" i="4" s="1"/>
  <c r="Y20" i="4" s="1"/>
  <c r="Y21" i="4" s="1"/>
  <c r="Y22" i="4" s="1"/>
  <c r="Y23" i="4" s="1"/>
  <c r="Y24" i="4" s="1"/>
  <c r="Y25" i="4" s="1"/>
  <c r="Y26" i="4" s="1"/>
  <c r="Y27" i="4" s="1"/>
  <c r="Y28" i="4" s="1"/>
  <c r="Y29" i="4" s="1"/>
  <c r="Y30" i="4" s="1"/>
  <c r="Y31" i="4" s="1"/>
  <c r="Y32" i="4" s="1"/>
  <c r="Y33" i="4" s="1"/>
  <c r="Y34" i="4" s="1"/>
  <c r="Y35" i="4" s="1"/>
  <c r="Y36" i="4" s="1"/>
  <c r="Y37" i="4" s="1"/>
  <c r="Y38" i="4" s="1"/>
  <c r="Y39" i="4" s="1"/>
  <c r="Y40" i="4" s="1"/>
  <c r="Y41" i="4" s="1"/>
  <c r="Y42" i="4" s="1"/>
  <c r="Y43" i="4" s="1"/>
  <c r="Y44" i="4" s="1"/>
  <c r="Y45" i="4" s="1"/>
  <c r="Y46" i="4" s="1"/>
  <c r="Y47" i="4" s="1"/>
  <c r="Y48" i="4" s="1"/>
  <c r="Y49" i="4" s="1"/>
  <c r="Y50" i="4" s="1"/>
  <c r="Y51" i="4" s="1"/>
  <c r="Y52" i="4" s="1"/>
  <c r="Y53" i="4" s="1"/>
  <c r="Y54" i="4" s="1"/>
  <c r="Y55" i="4" s="1"/>
  <c r="Y56" i="4" s="1"/>
  <c r="Y57" i="4" s="1"/>
  <c r="Y58" i="4" s="1"/>
  <c r="Y59" i="4" s="1"/>
  <c r="Y60" i="4" s="1"/>
  <c r="Y61" i="4" s="1"/>
  <c r="Y62" i="4" s="1"/>
  <c r="Y63" i="4" s="1"/>
  <c r="Y64" i="4" s="1"/>
  <c r="Y65" i="4" s="1"/>
  <c r="Y66" i="4" s="1"/>
  <c r="Y67" i="4" s="1"/>
  <c r="Y68" i="4" s="1"/>
  <c r="Y69" i="4" s="1"/>
  <c r="Y70" i="4" s="1"/>
  <c r="Y71" i="4" s="1"/>
  <c r="Y72" i="4" s="1"/>
  <c r="Y73" i="4" s="1"/>
  <c r="Y74" i="4" s="1"/>
  <c r="Y75" i="4" s="1"/>
  <c r="Y76" i="4" s="1"/>
  <c r="Y77" i="4" s="1"/>
  <c r="Y78" i="4" s="1"/>
  <c r="Y79" i="4" s="1"/>
  <c r="Y80" i="4" s="1"/>
  <c r="Y81" i="4" s="1"/>
  <c r="Y82" i="4" s="1"/>
  <c r="Y83" i="4" s="1"/>
  <c r="Y84" i="4" s="1"/>
  <c r="Y85" i="4" s="1"/>
  <c r="Y86" i="4" s="1"/>
  <c r="Y87" i="4" s="1"/>
  <c r="Y88" i="4" s="1"/>
  <c r="Y89" i="4" s="1"/>
  <c r="Y90" i="4" s="1"/>
  <c r="Y91" i="4" s="1"/>
  <c r="Y92" i="4" s="1"/>
  <c r="G28" i="4" s="1"/>
  <c r="Z3" i="4"/>
  <c r="Z4" i="4" s="1"/>
  <c r="Z5" i="4" s="1"/>
  <c r="Z6" i="4" s="1"/>
  <c r="Z7" i="4" s="1"/>
  <c r="Z8" i="4" s="1"/>
  <c r="Z9" i="4" s="1"/>
  <c r="Z10" i="4" s="1"/>
  <c r="Z11" i="4" s="1"/>
  <c r="Z12" i="4" s="1"/>
  <c r="Z13" i="4" s="1"/>
  <c r="Z14" i="4" s="1"/>
  <c r="Z15" i="4" s="1"/>
  <c r="Z16" i="4" s="1"/>
  <c r="Z17" i="4" s="1"/>
  <c r="Z18" i="4" s="1"/>
  <c r="Z19" i="4" s="1"/>
  <c r="Z20" i="4" s="1"/>
  <c r="Z21" i="4" s="1"/>
  <c r="Z22" i="4" s="1"/>
  <c r="Z23" i="4" s="1"/>
  <c r="Z24" i="4" s="1"/>
  <c r="Z25" i="4" s="1"/>
  <c r="Z26" i="4" s="1"/>
  <c r="Z27" i="4" s="1"/>
  <c r="Z28" i="4" s="1"/>
  <c r="Z29" i="4" s="1"/>
  <c r="Z30" i="4" s="1"/>
  <c r="Z31" i="4" s="1"/>
  <c r="Z32" i="4" s="1"/>
  <c r="Z33" i="4" s="1"/>
  <c r="Z34" i="4" s="1"/>
  <c r="Z35" i="4" s="1"/>
  <c r="Z36" i="4" s="1"/>
  <c r="Z37" i="4" s="1"/>
  <c r="Z38" i="4" s="1"/>
  <c r="Z39" i="4" s="1"/>
  <c r="Z40" i="4" s="1"/>
  <c r="Z41" i="4" s="1"/>
  <c r="Z42" i="4" s="1"/>
  <c r="Z43" i="4" s="1"/>
  <c r="Z44" i="4" s="1"/>
  <c r="Z45" i="4" s="1"/>
  <c r="Z46" i="4" s="1"/>
  <c r="Z47" i="4" s="1"/>
  <c r="Z48" i="4" s="1"/>
  <c r="Z49" i="4" s="1"/>
  <c r="Z50" i="4" s="1"/>
  <c r="Z51" i="4" s="1"/>
  <c r="Z52" i="4" s="1"/>
  <c r="Z53" i="4" s="1"/>
  <c r="Z54" i="4" s="1"/>
  <c r="Z55" i="4" s="1"/>
  <c r="Z56" i="4" s="1"/>
  <c r="Z57" i="4" s="1"/>
  <c r="Z58" i="4" s="1"/>
  <c r="Z59" i="4" s="1"/>
  <c r="Z60" i="4" s="1"/>
  <c r="Z61" i="4" s="1"/>
  <c r="Z62" i="4" s="1"/>
  <c r="Z63" i="4" s="1"/>
  <c r="Z64" i="4" s="1"/>
  <c r="Z65" i="4" s="1"/>
  <c r="Z66" i="4" s="1"/>
  <c r="Z67" i="4" s="1"/>
  <c r="Z68" i="4" s="1"/>
  <c r="Z69" i="4" s="1"/>
  <c r="Z70" i="4" s="1"/>
  <c r="Z71" i="4" s="1"/>
  <c r="Z72" i="4" s="1"/>
  <c r="Z73" i="4" s="1"/>
  <c r="Z74" i="4" s="1"/>
  <c r="Z75" i="4" s="1"/>
  <c r="Z76" i="4" s="1"/>
  <c r="Z77" i="4" s="1"/>
  <c r="Z78" i="4" s="1"/>
  <c r="Z79" i="4" s="1"/>
  <c r="Z80" i="4" s="1"/>
  <c r="Z81" i="4" s="1"/>
  <c r="Z82" i="4" s="1"/>
  <c r="Z83" i="4" s="1"/>
  <c r="Z84" i="4" s="1"/>
  <c r="Z85" i="4" s="1"/>
  <c r="Z86" i="4" s="1"/>
  <c r="Z87" i="4" s="1"/>
  <c r="Z88" i="4" s="1"/>
  <c r="Z89" i="4" s="1"/>
  <c r="Z90" i="4" s="1"/>
  <c r="Z91" i="4" s="1"/>
  <c r="Z92" i="4" s="1"/>
  <c r="H28" i="4" s="1"/>
  <c r="T3" i="4"/>
  <c r="T4" i="4" s="1"/>
  <c r="T5" i="4" s="1"/>
  <c r="T6" i="4" s="1"/>
  <c r="T7" i="4" s="1"/>
  <c r="T8" i="4" s="1"/>
  <c r="T9" i="4" s="1"/>
  <c r="T10" i="4" s="1"/>
  <c r="T11" i="4" s="1"/>
  <c r="T12" i="4" s="1"/>
  <c r="T13" i="4" s="1"/>
  <c r="T14" i="4" s="1"/>
  <c r="T15" i="4" s="1"/>
  <c r="T16" i="4" s="1"/>
  <c r="T17" i="4" s="1"/>
  <c r="T18" i="4" s="1"/>
  <c r="T19" i="4" s="1"/>
  <c r="T20" i="4" s="1"/>
  <c r="T21" i="4" s="1"/>
  <c r="T22" i="4" s="1"/>
  <c r="T23" i="4" s="1"/>
  <c r="T24" i="4" s="1"/>
  <c r="T25" i="4" s="1"/>
  <c r="T26" i="4" s="1"/>
  <c r="T27" i="4" s="1"/>
  <c r="T28" i="4" s="1"/>
  <c r="T29" i="4" s="1"/>
  <c r="T30" i="4" s="1"/>
  <c r="T31" i="4" s="1"/>
  <c r="T32" i="4" s="1"/>
  <c r="T33" i="4" s="1"/>
  <c r="T34" i="4" s="1"/>
  <c r="T35" i="4" s="1"/>
  <c r="T36" i="4" s="1"/>
  <c r="T37" i="4" s="1"/>
  <c r="T38" i="4" s="1"/>
  <c r="T39" i="4" s="1"/>
  <c r="T40" i="4" s="1"/>
  <c r="T41" i="4" s="1"/>
  <c r="T42" i="4" s="1"/>
  <c r="T43" i="4" s="1"/>
  <c r="T44" i="4" s="1"/>
  <c r="T45" i="4" s="1"/>
  <c r="T46" i="4" s="1"/>
  <c r="T47" i="4" s="1"/>
  <c r="T48" i="4" s="1"/>
  <c r="T49" i="4" s="1"/>
  <c r="T50" i="4" s="1"/>
  <c r="T51" i="4" s="1"/>
  <c r="T52" i="4" s="1"/>
  <c r="T53" i="4" s="1"/>
  <c r="T54" i="4" s="1"/>
  <c r="T55" i="4" s="1"/>
  <c r="T56" i="4" s="1"/>
  <c r="T57" i="4" s="1"/>
  <c r="T58" i="4" s="1"/>
  <c r="T59" i="4" s="1"/>
  <c r="T60" i="4" s="1"/>
  <c r="T61" i="4" s="1"/>
  <c r="T62" i="4" s="1"/>
  <c r="T63" i="4" s="1"/>
  <c r="T64" i="4" s="1"/>
  <c r="T65" i="4" s="1"/>
  <c r="T66" i="4" s="1"/>
  <c r="T67" i="4" s="1"/>
  <c r="T68" i="4" s="1"/>
  <c r="T69" i="4" s="1"/>
  <c r="T70" i="4" s="1"/>
  <c r="T71" i="4" s="1"/>
  <c r="T72" i="4" s="1"/>
  <c r="T73" i="4" s="1"/>
  <c r="T74" i="4" s="1"/>
  <c r="T75" i="4" s="1"/>
  <c r="T76" i="4" s="1"/>
  <c r="T77" i="4" s="1"/>
  <c r="T78" i="4" s="1"/>
  <c r="T79" i="4" s="1"/>
  <c r="T80" i="4" s="1"/>
  <c r="T81" i="4" s="1"/>
  <c r="T82" i="4" s="1"/>
  <c r="T83" i="4" s="1"/>
  <c r="T84" i="4" s="1"/>
  <c r="T85" i="4" s="1"/>
  <c r="T86" i="4" s="1"/>
  <c r="T87" i="4" s="1"/>
  <c r="T88" i="4" s="1"/>
  <c r="T89" i="4" s="1"/>
  <c r="T90" i="4" s="1"/>
  <c r="T91" i="4" s="1"/>
  <c r="T92" i="4" s="1"/>
  <c r="B28" i="4" s="1"/>
  <c r="M3" i="4"/>
  <c r="M4" i="4" s="1"/>
  <c r="M5" i="4" s="1"/>
  <c r="M6" i="4" s="1"/>
  <c r="M7" i="4" s="1"/>
  <c r="M8" i="4" s="1"/>
  <c r="M9" i="4" s="1"/>
  <c r="M10" i="4" s="1"/>
  <c r="M11" i="4" s="1"/>
  <c r="M12" i="4" s="1"/>
  <c r="M13" i="4" s="1"/>
  <c r="M14" i="4" s="1"/>
  <c r="M15" i="4" s="1"/>
  <c r="M16" i="4" s="1"/>
  <c r="M17" i="4" s="1"/>
  <c r="M18" i="4" s="1"/>
  <c r="M19" i="4" s="1"/>
  <c r="M20" i="4" s="1"/>
  <c r="M21" i="4" s="1"/>
  <c r="M22" i="4" s="1"/>
  <c r="M23" i="4" s="1"/>
  <c r="M24" i="4" s="1"/>
  <c r="M25" i="4" s="1"/>
  <c r="M26" i="4" s="1"/>
  <c r="M27" i="4" s="1"/>
  <c r="M28" i="4" s="1"/>
  <c r="M29" i="4" s="1"/>
  <c r="M30" i="4" s="1"/>
  <c r="M31" i="4" s="1"/>
  <c r="M32" i="4" s="1"/>
  <c r="M33" i="4" s="1"/>
  <c r="M34" i="4" s="1"/>
  <c r="M35" i="4" s="1"/>
  <c r="M36" i="4" s="1"/>
  <c r="M37" i="4" s="1"/>
  <c r="M38" i="4" s="1"/>
  <c r="M39" i="4" s="1"/>
  <c r="M40" i="4" s="1"/>
  <c r="M41" i="4" s="1"/>
  <c r="M42" i="4" s="1"/>
  <c r="M43" i="4" s="1"/>
  <c r="M44" i="4" s="1"/>
  <c r="M45" i="4" s="1"/>
  <c r="M46" i="4" s="1"/>
  <c r="M47" i="4" s="1"/>
  <c r="M48" i="4" s="1"/>
  <c r="M49" i="4" s="1"/>
  <c r="M50" i="4" s="1"/>
  <c r="M51" i="4" s="1"/>
  <c r="M52" i="4" s="1"/>
  <c r="M53" i="4" s="1"/>
  <c r="M54" i="4" s="1"/>
  <c r="M55" i="4" s="1"/>
  <c r="M56" i="4" s="1"/>
  <c r="M57" i="4" s="1"/>
  <c r="M58" i="4" s="1"/>
  <c r="M59" i="4" s="1"/>
  <c r="M60" i="4" s="1"/>
  <c r="M61" i="4" s="1"/>
  <c r="M62" i="4" s="1"/>
  <c r="M63" i="4" s="1"/>
  <c r="M64" i="4" s="1"/>
  <c r="M65" i="4" s="1"/>
  <c r="M66" i="4" s="1"/>
  <c r="M67" i="4" s="1"/>
  <c r="M68" i="4" s="1"/>
  <c r="M69" i="4" s="1"/>
  <c r="M70" i="4" s="1"/>
  <c r="M71" i="4" s="1"/>
  <c r="M72" i="4" s="1"/>
  <c r="M73" i="4" s="1"/>
  <c r="M74" i="4" s="1"/>
  <c r="M75" i="4" s="1"/>
  <c r="M76" i="4" s="1"/>
  <c r="M77" i="4" s="1"/>
  <c r="M78" i="4" s="1"/>
  <c r="M79" i="4" s="1"/>
  <c r="M80" i="4" s="1"/>
  <c r="M81" i="4" s="1"/>
  <c r="M82" i="4" s="1"/>
  <c r="M83" i="4" s="1"/>
  <c r="M84" i="4" s="1"/>
  <c r="M85" i="4" s="1"/>
  <c r="M86" i="4" s="1"/>
  <c r="M87" i="4" s="1"/>
  <c r="M88" i="4" s="1"/>
  <c r="M89" i="4" s="1"/>
  <c r="M90" i="4" s="1"/>
  <c r="M91" i="4" s="1"/>
  <c r="M92" i="4" s="1"/>
  <c r="C25" i="4" s="1"/>
  <c r="N3" i="4"/>
  <c r="N4" i="4" s="1"/>
  <c r="N5" i="4" s="1"/>
  <c r="N6" i="4" s="1"/>
  <c r="N7" i="4" s="1"/>
  <c r="N8" i="4" s="1"/>
  <c r="N9" i="4" s="1"/>
  <c r="N10" i="4" s="1"/>
  <c r="N11" i="4" s="1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N34" i="4" s="1"/>
  <c r="N35" i="4" s="1"/>
  <c r="N36" i="4" s="1"/>
  <c r="N37" i="4" s="1"/>
  <c r="N38" i="4" s="1"/>
  <c r="N39" i="4" s="1"/>
  <c r="N40" i="4" s="1"/>
  <c r="N41" i="4" s="1"/>
  <c r="N42" i="4" s="1"/>
  <c r="N43" i="4" s="1"/>
  <c r="N44" i="4" s="1"/>
  <c r="N45" i="4" s="1"/>
  <c r="N46" i="4" s="1"/>
  <c r="N47" i="4" s="1"/>
  <c r="N48" i="4" s="1"/>
  <c r="N49" i="4" s="1"/>
  <c r="N50" i="4" s="1"/>
  <c r="N51" i="4" s="1"/>
  <c r="N52" i="4" s="1"/>
  <c r="N53" i="4" s="1"/>
  <c r="N54" i="4" s="1"/>
  <c r="N55" i="4" s="1"/>
  <c r="N56" i="4" s="1"/>
  <c r="N57" i="4" s="1"/>
  <c r="N58" i="4" s="1"/>
  <c r="N59" i="4" s="1"/>
  <c r="N60" i="4" s="1"/>
  <c r="N61" i="4" s="1"/>
  <c r="N62" i="4" s="1"/>
  <c r="N63" i="4" s="1"/>
  <c r="N64" i="4" s="1"/>
  <c r="N65" i="4" s="1"/>
  <c r="N66" i="4" s="1"/>
  <c r="N67" i="4" s="1"/>
  <c r="N68" i="4" s="1"/>
  <c r="N69" i="4" s="1"/>
  <c r="N70" i="4" s="1"/>
  <c r="N71" i="4" s="1"/>
  <c r="N72" i="4" s="1"/>
  <c r="N73" i="4" s="1"/>
  <c r="N74" i="4" s="1"/>
  <c r="N75" i="4" s="1"/>
  <c r="N76" i="4" s="1"/>
  <c r="N77" i="4" s="1"/>
  <c r="N78" i="4" s="1"/>
  <c r="N79" i="4" s="1"/>
  <c r="N80" i="4" s="1"/>
  <c r="N81" i="4" s="1"/>
  <c r="N82" i="4" s="1"/>
  <c r="N83" i="4" s="1"/>
  <c r="N84" i="4" s="1"/>
  <c r="N85" i="4" s="1"/>
  <c r="N86" i="4" s="1"/>
  <c r="N87" i="4" s="1"/>
  <c r="N88" i="4" s="1"/>
  <c r="N89" i="4" s="1"/>
  <c r="N90" i="4" s="1"/>
  <c r="N91" i="4" s="1"/>
  <c r="N92" i="4" s="1"/>
  <c r="D25" i="4" s="1"/>
  <c r="O3" i="4"/>
  <c r="O4" i="4" s="1"/>
  <c r="O5" i="4" s="1"/>
  <c r="O6" i="4" s="1"/>
  <c r="O7" i="4" s="1"/>
  <c r="O8" i="4" s="1"/>
  <c r="O9" i="4" s="1"/>
  <c r="O10" i="4" s="1"/>
  <c r="O11" i="4" s="1"/>
  <c r="O12" i="4" s="1"/>
  <c r="O13" i="4" s="1"/>
  <c r="O14" i="4" s="1"/>
  <c r="O15" i="4" s="1"/>
  <c r="O16" i="4" s="1"/>
  <c r="O17" i="4" s="1"/>
  <c r="O18" i="4" s="1"/>
  <c r="O19" i="4" s="1"/>
  <c r="O20" i="4" s="1"/>
  <c r="O21" i="4" s="1"/>
  <c r="O22" i="4" s="1"/>
  <c r="O23" i="4" s="1"/>
  <c r="O24" i="4" s="1"/>
  <c r="O25" i="4" s="1"/>
  <c r="O26" i="4" s="1"/>
  <c r="O27" i="4" s="1"/>
  <c r="O28" i="4" s="1"/>
  <c r="O29" i="4" s="1"/>
  <c r="O30" i="4" s="1"/>
  <c r="O31" i="4" s="1"/>
  <c r="O32" i="4" s="1"/>
  <c r="O33" i="4" s="1"/>
  <c r="O34" i="4" s="1"/>
  <c r="O35" i="4" s="1"/>
  <c r="O36" i="4" s="1"/>
  <c r="O37" i="4" s="1"/>
  <c r="O38" i="4" s="1"/>
  <c r="O39" i="4" s="1"/>
  <c r="O40" i="4" s="1"/>
  <c r="O41" i="4" s="1"/>
  <c r="O42" i="4" s="1"/>
  <c r="O43" i="4" s="1"/>
  <c r="O44" i="4" s="1"/>
  <c r="O45" i="4" s="1"/>
  <c r="O46" i="4" s="1"/>
  <c r="O47" i="4" s="1"/>
  <c r="O48" i="4" s="1"/>
  <c r="O49" i="4" s="1"/>
  <c r="O50" i="4" s="1"/>
  <c r="O51" i="4" s="1"/>
  <c r="O52" i="4" s="1"/>
  <c r="O53" i="4" s="1"/>
  <c r="O54" i="4" s="1"/>
  <c r="O55" i="4" s="1"/>
  <c r="O56" i="4" s="1"/>
  <c r="O57" i="4" s="1"/>
  <c r="O58" i="4" s="1"/>
  <c r="O59" i="4" s="1"/>
  <c r="O60" i="4" s="1"/>
  <c r="O61" i="4" s="1"/>
  <c r="O62" i="4" s="1"/>
  <c r="O63" i="4" s="1"/>
  <c r="O64" i="4" s="1"/>
  <c r="O65" i="4" s="1"/>
  <c r="O66" i="4" s="1"/>
  <c r="O67" i="4" s="1"/>
  <c r="O68" i="4" s="1"/>
  <c r="O69" i="4" s="1"/>
  <c r="O70" i="4" s="1"/>
  <c r="O71" i="4" s="1"/>
  <c r="O72" i="4" s="1"/>
  <c r="O73" i="4" s="1"/>
  <c r="O74" i="4" s="1"/>
  <c r="O75" i="4" s="1"/>
  <c r="O76" i="4" s="1"/>
  <c r="O77" i="4" s="1"/>
  <c r="O78" i="4" s="1"/>
  <c r="O79" i="4" s="1"/>
  <c r="O80" i="4" s="1"/>
  <c r="O81" i="4" s="1"/>
  <c r="O82" i="4" s="1"/>
  <c r="O83" i="4" s="1"/>
  <c r="O84" i="4" s="1"/>
  <c r="O85" i="4" s="1"/>
  <c r="O86" i="4" s="1"/>
  <c r="O87" i="4" s="1"/>
  <c r="O88" i="4" s="1"/>
  <c r="O89" i="4" s="1"/>
  <c r="O90" i="4" s="1"/>
  <c r="O91" i="4" s="1"/>
  <c r="O92" i="4" s="1"/>
  <c r="E25" i="4" s="1"/>
  <c r="P3" i="4"/>
  <c r="P4" i="4" s="1"/>
  <c r="P5" i="4" s="1"/>
  <c r="P6" i="4" s="1"/>
  <c r="P7" i="4" s="1"/>
  <c r="P8" i="4" s="1"/>
  <c r="P9" i="4" s="1"/>
  <c r="P10" i="4" s="1"/>
  <c r="P11" i="4" s="1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P34" i="4" s="1"/>
  <c r="P35" i="4" s="1"/>
  <c r="P36" i="4" s="1"/>
  <c r="P37" i="4" s="1"/>
  <c r="P38" i="4" s="1"/>
  <c r="P39" i="4" s="1"/>
  <c r="P40" i="4" s="1"/>
  <c r="P41" i="4" s="1"/>
  <c r="P42" i="4" s="1"/>
  <c r="P43" i="4" s="1"/>
  <c r="P44" i="4" s="1"/>
  <c r="P45" i="4" s="1"/>
  <c r="P46" i="4" s="1"/>
  <c r="P47" i="4" s="1"/>
  <c r="P48" i="4" s="1"/>
  <c r="P49" i="4" s="1"/>
  <c r="P50" i="4" s="1"/>
  <c r="P51" i="4" s="1"/>
  <c r="P52" i="4" s="1"/>
  <c r="P53" i="4" s="1"/>
  <c r="P54" i="4" s="1"/>
  <c r="P55" i="4" s="1"/>
  <c r="P56" i="4" s="1"/>
  <c r="P57" i="4" s="1"/>
  <c r="P58" i="4" s="1"/>
  <c r="P59" i="4" s="1"/>
  <c r="P60" i="4" s="1"/>
  <c r="P61" i="4" s="1"/>
  <c r="P62" i="4" s="1"/>
  <c r="P63" i="4" s="1"/>
  <c r="P64" i="4" s="1"/>
  <c r="P65" i="4" s="1"/>
  <c r="P66" i="4" s="1"/>
  <c r="P67" i="4" s="1"/>
  <c r="P68" i="4" s="1"/>
  <c r="P69" i="4" s="1"/>
  <c r="P70" i="4" s="1"/>
  <c r="P71" i="4" s="1"/>
  <c r="P72" i="4" s="1"/>
  <c r="P73" i="4" s="1"/>
  <c r="P74" i="4" s="1"/>
  <c r="P75" i="4" s="1"/>
  <c r="P76" i="4" s="1"/>
  <c r="P77" i="4" s="1"/>
  <c r="P78" i="4" s="1"/>
  <c r="P79" i="4" s="1"/>
  <c r="P80" i="4" s="1"/>
  <c r="P81" i="4" s="1"/>
  <c r="P82" i="4" s="1"/>
  <c r="P83" i="4" s="1"/>
  <c r="P84" i="4" s="1"/>
  <c r="P85" i="4" s="1"/>
  <c r="P86" i="4" s="1"/>
  <c r="P87" i="4" s="1"/>
  <c r="P88" i="4" s="1"/>
  <c r="P89" i="4" s="1"/>
  <c r="P90" i="4" s="1"/>
  <c r="P91" i="4" s="1"/>
  <c r="P92" i="4" s="1"/>
  <c r="F25" i="4" s="1"/>
  <c r="Q3" i="4"/>
  <c r="Q4" i="4" s="1"/>
  <c r="Q5" i="4" s="1"/>
  <c r="Q6" i="4" s="1"/>
  <c r="Q7" i="4" s="1"/>
  <c r="Q8" i="4" s="1"/>
  <c r="Q9" i="4" s="1"/>
  <c r="Q10" i="4" s="1"/>
  <c r="Q11" i="4" s="1"/>
  <c r="Q12" i="4" s="1"/>
  <c r="Q13" i="4" s="1"/>
  <c r="Q14" i="4" s="1"/>
  <c r="Q15" i="4" s="1"/>
  <c r="Q16" i="4" s="1"/>
  <c r="Q17" i="4" s="1"/>
  <c r="Q18" i="4" s="1"/>
  <c r="Q19" i="4" s="1"/>
  <c r="Q20" i="4" s="1"/>
  <c r="Q21" i="4" s="1"/>
  <c r="Q22" i="4" s="1"/>
  <c r="Q23" i="4" s="1"/>
  <c r="Q24" i="4" s="1"/>
  <c r="Q25" i="4" s="1"/>
  <c r="Q26" i="4" s="1"/>
  <c r="Q27" i="4" s="1"/>
  <c r="Q28" i="4" s="1"/>
  <c r="Q29" i="4" s="1"/>
  <c r="Q30" i="4" s="1"/>
  <c r="Q31" i="4" s="1"/>
  <c r="Q32" i="4" s="1"/>
  <c r="Q33" i="4" s="1"/>
  <c r="Q34" i="4" s="1"/>
  <c r="Q35" i="4" s="1"/>
  <c r="Q36" i="4" s="1"/>
  <c r="Q37" i="4" s="1"/>
  <c r="Q38" i="4" s="1"/>
  <c r="Q39" i="4" s="1"/>
  <c r="Q40" i="4" s="1"/>
  <c r="Q41" i="4" s="1"/>
  <c r="Q42" i="4" s="1"/>
  <c r="Q43" i="4" s="1"/>
  <c r="Q44" i="4" s="1"/>
  <c r="Q45" i="4" s="1"/>
  <c r="Q46" i="4" s="1"/>
  <c r="Q47" i="4" s="1"/>
  <c r="Q48" i="4" s="1"/>
  <c r="Q49" i="4" s="1"/>
  <c r="Q50" i="4" s="1"/>
  <c r="Q51" i="4" s="1"/>
  <c r="Q52" i="4" s="1"/>
  <c r="Q53" i="4" s="1"/>
  <c r="Q54" i="4" s="1"/>
  <c r="Q55" i="4" s="1"/>
  <c r="Q56" i="4" s="1"/>
  <c r="Q57" i="4" s="1"/>
  <c r="Q58" i="4" s="1"/>
  <c r="Q59" i="4" s="1"/>
  <c r="Q60" i="4" s="1"/>
  <c r="Q61" i="4" s="1"/>
  <c r="Q62" i="4" s="1"/>
  <c r="Q63" i="4" s="1"/>
  <c r="Q64" i="4" s="1"/>
  <c r="Q65" i="4" s="1"/>
  <c r="Q66" i="4" s="1"/>
  <c r="Q67" i="4" s="1"/>
  <c r="Q68" i="4" s="1"/>
  <c r="Q69" i="4" s="1"/>
  <c r="Q70" i="4" s="1"/>
  <c r="Q71" i="4" s="1"/>
  <c r="Q72" i="4" s="1"/>
  <c r="Q73" i="4" s="1"/>
  <c r="Q74" i="4" s="1"/>
  <c r="Q75" i="4" s="1"/>
  <c r="Q76" i="4" s="1"/>
  <c r="Q77" i="4" s="1"/>
  <c r="Q78" i="4" s="1"/>
  <c r="Q79" i="4" s="1"/>
  <c r="Q80" i="4" s="1"/>
  <c r="Q81" i="4" s="1"/>
  <c r="Q82" i="4" s="1"/>
  <c r="Q83" i="4" s="1"/>
  <c r="Q84" i="4" s="1"/>
  <c r="Q85" i="4" s="1"/>
  <c r="Q86" i="4" s="1"/>
  <c r="Q87" i="4" s="1"/>
  <c r="Q88" i="4" s="1"/>
  <c r="Q89" i="4" s="1"/>
  <c r="Q90" i="4" s="1"/>
  <c r="Q91" i="4" s="1"/>
  <c r="Q92" i="4" s="1"/>
  <c r="G25" i="4" s="1"/>
  <c r="R3" i="4"/>
  <c r="R4" i="4" s="1"/>
  <c r="R5" i="4" s="1"/>
  <c r="R6" i="4" s="1"/>
  <c r="R7" i="4" s="1"/>
  <c r="R8" i="4" s="1"/>
  <c r="R9" i="4" s="1"/>
  <c r="R10" i="4" s="1"/>
  <c r="R11" i="4" s="1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R34" i="4" s="1"/>
  <c r="R35" i="4" s="1"/>
  <c r="R36" i="4" s="1"/>
  <c r="R37" i="4" s="1"/>
  <c r="R38" i="4" s="1"/>
  <c r="R39" i="4" s="1"/>
  <c r="R40" i="4" s="1"/>
  <c r="R41" i="4" s="1"/>
  <c r="R42" i="4" s="1"/>
  <c r="R43" i="4" s="1"/>
  <c r="R44" i="4" s="1"/>
  <c r="R45" i="4" s="1"/>
  <c r="R46" i="4" s="1"/>
  <c r="R47" i="4" s="1"/>
  <c r="R48" i="4" s="1"/>
  <c r="R49" i="4" s="1"/>
  <c r="R50" i="4" s="1"/>
  <c r="R51" i="4" s="1"/>
  <c r="R52" i="4" s="1"/>
  <c r="R53" i="4" s="1"/>
  <c r="R54" i="4" s="1"/>
  <c r="R55" i="4" s="1"/>
  <c r="R56" i="4" s="1"/>
  <c r="R57" i="4" s="1"/>
  <c r="R58" i="4" s="1"/>
  <c r="R59" i="4" s="1"/>
  <c r="R60" i="4" s="1"/>
  <c r="R61" i="4" s="1"/>
  <c r="R62" i="4" s="1"/>
  <c r="R63" i="4" s="1"/>
  <c r="R64" i="4" s="1"/>
  <c r="R65" i="4" s="1"/>
  <c r="R66" i="4" s="1"/>
  <c r="R67" i="4" s="1"/>
  <c r="R68" i="4" s="1"/>
  <c r="R69" i="4" s="1"/>
  <c r="R70" i="4" s="1"/>
  <c r="R71" i="4" s="1"/>
  <c r="R72" i="4" s="1"/>
  <c r="R73" i="4" s="1"/>
  <c r="R74" i="4" s="1"/>
  <c r="R75" i="4" s="1"/>
  <c r="R76" i="4" s="1"/>
  <c r="R77" i="4" s="1"/>
  <c r="R78" i="4" s="1"/>
  <c r="R79" i="4" s="1"/>
  <c r="R80" i="4" s="1"/>
  <c r="R81" i="4" s="1"/>
  <c r="R82" i="4" s="1"/>
  <c r="R83" i="4" s="1"/>
  <c r="R84" i="4" s="1"/>
  <c r="R85" i="4" s="1"/>
  <c r="R86" i="4" s="1"/>
  <c r="R87" i="4" s="1"/>
  <c r="R88" i="4" s="1"/>
  <c r="R89" i="4" s="1"/>
  <c r="R90" i="4" s="1"/>
  <c r="R91" i="4" s="1"/>
  <c r="R92" i="4" s="1"/>
  <c r="H25" i="4" s="1"/>
  <c r="L3" i="4"/>
  <c r="L4" i="4" s="1"/>
  <c r="L5" i="4" s="1"/>
  <c r="L6" i="4" s="1"/>
  <c r="L7" i="4" s="1"/>
  <c r="L8" i="4" s="1"/>
  <c r="L9" i="4" s="1"/>
  <c r="L10" i="4" s="1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L34" i="4" s="1"/>
  <c r="L35" i="4" s="1"/>
  <c r="L36" i="4" s="1"/>
  <c r="L37" i="4" s="1"/>
  <c r="L38" i="4" s="1"/>
  <c r="L39" i="4" s="1"/>
  <c r="L40" i="4" s="1"/>
  <c r="L41" i="4" s="1"/>
  <c r="L42" i="4" s="1"/>
  <c r="L43" i="4" s="1"/>
  <c r="L44" i="4" s="1"/>
  <c r="L45" i="4" s="1"/>
  <c r="L46" i="4" s="1"/>
  <c r="L47" i="4" s="1"/>
  <c r="L48" i="4" s="1"/>
  <c r="L49" i="4" s="1"/>
  <c r="L50" i="4" s="1"/>
  <c r="L51" i="4" s="1"/>
  <c r="L52" i="4" s="1"/>
  <c r="L53" i="4" s="1"/>
  <c r="L54" i="4" s="1"/>
  <c r="L55" i="4" s="1"/>
  <c r="L56" i="4" s="1"/>
  <c r="L57" i="4" s="1"/>
  <c r="L58" i="4" s="1"/>
  <c r="L59" i="4" s="1"/>
  <c r="L60" i="4" s="1"/>
  <c r="L61" i="4" s="1"/>
  <c r="L62" i="4" s="1"/>
  <c r="L63" i="4" s="1"/>
  <c r="L64" i="4" s="1"/>
  <c r="L65" i="4" s="1"/>
  <c r="L66" i="4" s="1"/>
  <c r="L67" i="4" s="1"/>
  <c r="L68" i="4" s="1"/>
  <c r="L69" i="4" s="1"/>
  <c r="L70" i="4" s="1"/>
  <c r="L71" i="4" s="1"/>
  <c r="L72" i="4" s="1"/>
  <c r="L73" i="4" s="1"/>
  <c r="L74" i="4" s="1"/>
  <c r="L75" i="4" s="1"/>
  <c r="L76" i="4" s="1"/>
  <c r="L77" i="4" s="1"/>
  <c r="L78" i="4" s="1"/>
  <c r="L79" i="4" s="1"/>
  <c r="L80" i="4" s="1"/>
  <c r="L81" i="4" s="1"/>
  <c r="L82" i="4" s="1"/>
  <c r="L83" i="4" s="1"/>
  <c r="L84" i="4" s="1"/>
  <c r="L85" i="4" s="1"/>
  <c r="L86" i="4" s="1"/>
  <c r="L87" i="4" s="1"/>
  <c r="L88" i="4" s="1"/>
  <c r="L89" i="4" s="1"/>
  <c r="L90" i="4" s="1"/>
  <c r="L91" i="4" s="1"/>
  <c r="L92" i="4" s="1"/>
  <c r="B25" i="4" s="1"/>
  <c r="M2" i="4"/>
  <c r="C24" i="4" s="1"/>
  <c r="N2" i="4"/>
  <c r="D24" i="4" s="1"/>
  <c r="O2" i="4"/>
  <c r="E24" i="4" s="1"/>
  <c r="P2" i="4"/>
  <c r="F24" i="4" s="1"/>
  <c r="Q2" i="4"/>
  <c r="G24" i="4" s="1"/>
  <c r="R2" i="4"/>
  <c r="H24" i="4" s="1"/>
  <c r="L2" i="4"/>
  <c r="T2" i="4" s="1"/>
  <c r="B27" i="4" s="1"/>
  <c r="M1" i="4"/>
  <c r="U1" i="4" s="1"/>
  <c r="N1" i="4"/>
  <c r="V1" i="4" s="1"/>
  <c r="O1" i="4"/>
  <c r="W1" i="4" s="1"/>
  <c r="P1" i="4"/>
  <c r="X1" i="4" s="1"/>
  <c r="Q1" i="4"/>
  <c r="Y1" i="4" s="1"/>
  <c r="R1" i="4"/>
  <c r="Z1" i="4" s="1"/>
  <c r="L1" i="4"/>
  <c r="T1" i="4" s="1"/>
  <c r="L1" i="5"/>
  <c r="T1" i="5" s="1"/>
  <c r="L2" i="5"/>
  <c r="T2" i="5" s="1"/>
  <c r="B27" i="5" s="1"/>
  <c r="L3" i="5"/>
  <c r="L4" i="5" s="1"/>
  <c r="L5" i="5" s="1"/>
  <c r="L6" i="5" s="1"/>
  <c r="L7" i="5" s="1"/>
  <c r="L8" i="5" s="1"/>
  <c r="L9" i="5" s="1"/>
  <c r="L10" i="5" s="1"/>
  <c r="L11" i="5" s="1"/>
  <c r="L12" i="5" s="1"/>
  <c r="L13" i="5" s="1"/>
  <c r="L14" i="5" s="1"/>
  <c r="L15" i="5" s="1"/>
  <c r="L16" i="5" s="1"/>
  <c r="L17" i="5" s="1"/>
  <c r="L18" i="5" s="1"/>
  <c r="L19" i="5" s="1"/>
  <c r="L20" i="5" s="1"/>
  <c r="L21" i="5" s="1"/>
  <c r="L22" i="5" s="1"/>
  <c r="L23" i="5" s="1"/>
  <c r="L24" i="5" s="1"/>
  <c r="L25" i="5" s="1"/>
  <c r="L26" i="5" s="1"/>
  <c r="L27" i="5" s="1"/>
  <c r="L28" i="5" s="1"/>
  <c r="L29" i="5" s="1"/>
  <c r="L30" i="5" s="1"/>
  <c r="L31" i="5" s="1"/>
  <c r="L32" i="5" s="1"/>
  <c r="L33" i="5" s="1"/>
  <c r="L34" i="5" s="1"/>
  <c r="L35" i="5" s="1"/>
  <c r="L36" i="5" s="1"/>
  <c r="L37" i="5" s="1"/>
  <c r="L38" i="5" s="1"/>
  <c r="L39" i="5" s="1"/>
  <c r="L40" i="5" s="1"/>
  <c r="L41" i="5" s="1"/>
  <c r="L42" i="5" s="1"/>
  <c r="L43" i="5" s="1"/>
  <c r="L44" i="5" s="1"/>
  <c r="L45" i="5" s="1"/>
  <c r="L46" i="5" s="1"/>
  <c r="L47" i="5" s="1"/>
  <c r="L48" i="5" s="1"/>
  <c r="L49" i="5" s="1"/>
  <c r="L50" i="5" s="1"/>
  <c r="L51" i="5" s="1"/>
  <c r="L52" i="5" s="1"/>
  <c r="L53" i="5" s="1"/>
  <c r="L54" i="5" s="1"/>
  <c r="L55" i="5" s="1"/>
  <c r="L56" i="5" s="1"/>
  <c r="L57" i="5" s="1"/>
  <c r="L58" i="5" s="1"/>
  <c r="L59" i="5" s="1"/>
  <c r="L60" i="5" s="1"/>
  <c r="L61" i="5" s="1"/>
  <c r="L62" i="5" s="1"/>
  <c r="L63" i="5" s="1"/>
  <c r="L64" i="5" s="1"/>
  <c r="L65" i="5" s="1"/>
  <c r="L66" i="5" s="1"/>
  <c r="L67" i="5" s="1"/>
  <c r="L68" i="5" s="1"/>
  <c r="L69" i="5" s="1"/>
  <c r="L70" i="5" s="1"/>
  <c r="L71" i="5" s="1"/>
  <c r="L72" i="5" s="1"/>
  <c r="L73" i="5" s="1"/>
  <c r="L74" i="5" s="1"/>
  <c r="L75" i="5" s="1"/>
  <c r="L76" i="5" s="1"/>
  <c r="L77" i="5" s="1"/>
  <c r="L78" i="5" s="1"/>
  <c r="L79" i="5" s="1"/>
  <c r="L80" i="5" s="1"/>
  <c r="L81" i="5" s="1"/>
  <c r="L82" i="5" s="1"/>
  <c r="L83" i="5" s="1"/>
  <c r="L84" i="5" s="1"/>
  <c r="L85" i="5" s="1"/>
  <c r="L86" i="5" s="1"/>
  <c r="L87" i="5" s="1"/>
  <c r="L88" i="5" s="1"/>
  <c r="L89" i="5" s="1"/>
  <c r="L90" i="5" s="1"/>
  <c r="L91" i="5" s="1"/>
  <c r="L92" i="5" s="1"/>
  <c r="B25" i="5" s="1"/>
  <c r="T3" i="5"/>
  <c r="T4" i="5" s="1"/>
  <c r="T5" i="5" s="1"/>
  <c r="T6" i="5" s="1"/>
  <c r="T7" i="5" s="1"/>
  <c r="T8" i="5" s="1"/>
  <c r="T9" i="5" s="1"/>
  <c r="T10" i="5" s="1"/>
  <c r="T11" i="5" s="1"/>
  <c r="T12" i="5" s="1"/>
  <c r="T13" i="5" s="1"/>
  <c r="T14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2" i="5" s="1"/>
  <c r="T33" i="5" s="1"/>
  <c r="T34" i="5" s="1"/>
  <c r="T35" i="5" s="1"/>
  <c r="T36" i="5" s="1"/>
  <c r="T37" i="5" s="1"/>
  <c r="T38" i="5" s="1"/>
  <c r="T39" i="5" s="1"/>
  <c r="T40" i="5" s="1"/>
  <c r="T41" i="5" s="1"/>
  <c r="T42" i="5" s="1"/>
  <c r="T43" i="5" s="1"/>
  <c r="T44" i="5" s="1"/>
  <c r="T45" i="5" s="1"/>
  <c r="T46" i="5" s="1"/>
  <c r="T47" i="5" s="1"/>
  <c r="T48" i="5" s="1"/>
  <c r="T49" i="5" s="1"/>
  <c r="T50" i="5" s="1"/>
  <c r="T51" i="5" s="1"/>
  <c r="T52" i="5" s="1"/>
  <c r="T53" i="5" s="1"/>
  <c r="T54" i="5" s="1"/>
  <c r="T55" i="5" s="1"/>
  <c r="T56" i="5" s="1"/>
  <c r="T57" i="5" s="1"/>
  <c r="T58" i="5" s="1"/>
  <c r="T59" i="5" s="1"/>
  <c r="T60" i="5" s="1"/>
  <c r="T61" i="5" s="1"/>
  <c r="T62" i="5" s="1"/>
  <c r="T63" i="5" s="1"/>
  <c r="T64" i="5" s="1"/>
  <c r="T65" i="5" s="1"/>
  <c r="T66" i="5" s="1"/>
  <c r="T67" i="5" s="1"/>
  <c r="T68" i="5" s="1"/>
  <c r="T69" i="5" s="1"/>
  <c r="T70" i="5" s="1"/>
  <c r="T71" i="5" s="1"/>
  <c r="T72" i="5" s="1"/>
  <c r="T73" i="5" s="1"/>
  <c r="T74" i="5" s="1"/>
  <c r="T75" i="5" s="1"/>
  <c r="T76" i="5" s="1"/>
  <c r="T77" i="5" s="1"/>
  <c r="T78" i="5" s="1"/>
  <c r="T79" i="5" s="1"/>
  <c r="T80" i="5" s="1"/>
  <c r="T81" i="5" s="1"/>
  <c r="T82" i="5" s="1"/>
  <c r="T83" i="5" s="1"/>
  <c r="T84" i="5" s="1"/>
  <c r="T85" i="5" s="1"/>
  <c r="T86" i="5" s="1"/>
  <c r="T87" i="5" s="1"/>
  <c r="T88" i="5" s="1"/>
  <c r="T89" i="5" s="1"/>
  <c r="T90" i="5" s="1"/>
  <c r="T91" i="5" s="1"/>
  <c r="T92" i="5" s="1"/>
  <c r="B28" i="5" s="1"/>
  <c r="G24" i="6"/>
  <c r="H28" i="6"/>
  <c r="H25" i="6"/>
  <c r="G25" i="6"/>
  <c r="H24" i="6"/>
  <c r="G27" i="6"/>
  <c r="H25" i="5"/>
  <c r="G28" i="5"/>
  <c r="G25" i="5"/>
  <c r="C28" i="5"/>
  <c r="C25" i="5"/>
  <c r="H28" i="5"/>
  <c r="F28" i="5"/>
  <c r="E28" i="5"/>
  <c r="D28" i="5"/>
  <c r="F25" i="5"/>
  <c r="E25" i="5"/>
  <c r="D25" i="5"/>
  <c r="H24" i="5"/>
  <c r="G24" i="5"/>
  <c r="F24" i="5"/>
  <c r="E24" i="5"/>
  <c r="D24" i="5"/>
  <c r="C24" i="5"/>
  <c r="V3" i="2"/>
  <c r="V4" i="2" s="1"/>
  <c r="V5" i="2" s="1"/>
  <c r="V6" i="2" s="1"/>
  <c r="V7" i="2" s="1"/>
  <c r="V8" i="2" s="1"/>
  <c r="V9" i="2" s="1"/>
  <c r="V10" i="2" s="1"/>
  <c r="V11" i="2" s="1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V80" i="2" s="1"/>
  <c r="V81" i="2" s="1"/>
  <c r="V82" i="2" s="1"/>
  <c r="V83" i="2" s="1"/>
  <c r="V84" i="2" s="1"/>
  <c r="V85" i="2" s="1"/>
  <c r="V86" i="2" s="1"/>
  <c r="V87" i="2" s="1"/>
  <c r="V88" i="2" s="1"/>
  <c r="V89" i="2" s="1"/>
  <c r="V90" i="2" s="1"/>
  <c r="V91" i="2" s="1"/>
  <c r="V92" i="2" s="1"/>
  <c r="C28" i="2" s="1"/>
  <c r="W3" i="2"/>
  <c r="W4" i="2" s="1"/>
  <c r="W5" i="2" s="1"/>
  <c r="W6" i="2" s="1"/>
  <c r="W7" i="2" s="1"/>
  <c r="W8" i="2" s="1"/>
  <c r="W9" i="2" s="1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D28" i="2" s="1"/>
  <c r="X3" i="2"/>
  <c r="X4" i="2" s="1"/>
  <c r="X5" i="2" s="1"/>
  <c r="X6" i="2" s="1"/>
  <c r="X7" i="2" s="1"/>
  <c r="X8" i="2" s="1"/>
  <c r="X9" i="2" s="1"/>
  <c r="X10" i="2" s="1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X38" i="2" s="1"/>
  <c r="X39" i="2" s="1"/>
  <c r="X40" i="2" s="1"/>
  <c r="X41" i="2" s="1"/>
  <c r="X42" i="2" s="1"/>
  <c r="X43" i="2" s="1"/>
  <c r="X44" i="2" s="1"/>
  <c r="X45" i="2" s="1"/>
  <c r="X46" i="2" s="1"/>
  <c r="X47" i="2" s="1"/>
  <c r="X48" i="2" s="1"/>
  <c r="X49" i="2" s="1"/>
  <c r="X50" i="2" s="1"/>
  <c r="X51" i="2" s="1"/>
  <c r="X52" i="2" s="1"/>
  <c r="X53" i="2" s="1"/>
  <c r="X54" i="2" s="1"/>
  <c r="X55" i="2" s="1"/>
  <c r="X56" i="2" s="1"/>
  <c r="X57" i="2" s="1"/>
  <c r="X58" i="2" s="1"/>
  <c r="X59" i="2" s="1"/>
  <c r="X60" i="2" s="1"/>
  <c r="X61" i="2" s="1"/>
  <c r="X62" i="2" s="1"/>
  <c r="X63" i="2" s="1"/>
  <c r="X64" i="2" s="1"/>
  <c r="X65" i="2" s="1"/>
  <c r="X66" i="2" s="1"/>
  <c r="X67" i="2" s="1"/>
  <c r="X68" i="2" s="1"/>
  <c r="X69" i="2" s="1"/>
  <c r="X70" i="2" s="1"/>
  <c r="X71" i="2" s="1"/>
  <c r="X72" i="2" s="1"/>
  <c r="X73" i="2" s="1"/>
  <c r="X74" i="2" s="1"/>
  <c r="X75" i="2" s="1"/>
  <c r="X76" i="2" s="1"/>
  <c r="X77" i="2" s="1"/>
  <c r="X78" i="2" s="1"/>
  <c r="X79" i="2" s="1"/>
  <c r="X80" i="2" s="1"/>
  <c r="X81" i="2" s="1"/>
  <c r="X82" i="2" s="1"/>
  <c r="X83" i="2" s="1"/>
  <c r="X84" i="2" s="1"/>
  <c r="X85" i="2" s="1"/>
  <c r="X86" i="2" s="1"/>
  <c r="X87" i="2" s="1"/>
  <c r="X88" i="2" s="1"/>
  <c r="X89" i="2" s="1"/>
  <c r="X90" i="2" s="1"/>
  <c r="X91" i="2" s="1"/>
  <c r="X92" i="2" s="1"/>
  <c r="E28" i="2" s="1"/>
  <c r="Y3" i="2"/>
  <c r="Y4" i="2" s="1"/>
  <c r="Y5" i="2" s="1"/>
  <c r="Y6" i="2" s="1"/>
  <c r="Y7" i="2" s="1"/>
  <c r="Y8" i="2" s="1"/>
  <c r="Y9" i="2" s="1"/>
  <c r="Y10" i="2" s="1"/>
  <c r="Y11" i="2" s="1"/>
  <c r="Y12" i="2" s="1"/>
  <c r="Y13" i="2" s="1"/>
  <c r="Y14" i="2" s="1"/>
  <c r="Y15" i="2" s="1"/>
  <c r="Y16" i="2" s="1"/>
  <c r="Y17" i="2" s="1"/>
  <c r="Y18" i="2" s="1"/>
  <c r="Y19" i="2" s="1"/>
  <c r="Y20" i="2" s="1"/>
  <c r="Y21" i="2" s="1"/>
  <c r="Y22" i="2" s="1"/>
  <c r="Y23" i="2" s="1"/>
  <c r="Y24" i="2" s="1"/>
  <c r="Y25" i="2" s="1"/>
  <c r="Y26" i="2" s="1"/>
  <c r="Y27" i="2" s="1"/>
  <c r="Y28" i="2" s="1"/>
  <c r="Y29" i="2" s="1"/>
  <c r="Y30" i="2" s="1"/>
  <c r="Y31" i="2" s="1"/>
  <c r="Y32" i="2" s="1"/>
  <c r="Y33" i="2" s="1"/>
  <c r="Y34" i="2" s="1"/>
  <c r="Y35" i="2" s="1"/>
  <c r="Y36" i="2" s="1"/>
  <c r="Y37" i="2" s="1"/>
  <c r="Y38" i="2" s="1"/>
  <c r="Y39" i="2" s="1"/>
  <c r="Y40" i="2" s="1"/>
  <c r="Y41" i="2" s="1"/>
  <c r="Y42" i="2" s="1"/>
  <c r="Y43" i="2" s="1"/>
  <c r="Y44" i="2" s="1"/>
  <c r="Y45" i="2" s="1"/>
  <c r="Y46" i="2" s="1"/>
  <c r="Y47" i="2" s="1"/>
  <c r="Y48" i="2" s="1"/>
  <c r="Y49" i="2" s="1"/>
  <c r="Y50" i="2" s="1"/>
  <c r="Y51" i="2" s="1"/>
  <c r="Y52" i="2" s="1"/>
  <c r="Y53" i="2" s="1"/>
  <c r="Y54" i="2" s="1"/>
  <c r="Y55" i="2" s="1"/>
  <c r="Y56" i="2" s="1"/>
  <c r="Y57" i="2" s="1"/>
  <c r="Y58" i="2" s="1"/>
  <c r="Y59" i="2" s="1"/>
  <c r="Y60" i="2" s="1"/>
  <c r="Y61" i="2" s="1"/>
  <c r="Y62" i="2" s="1"/>
  <c r="Y63" i="2" s="1"/>
  <c r="Y64" i="2" s="1"/>
  <c r="Y65" i="2" s="1"/>
  <c r="Y66" i="2" s="1"/>
  <c r="Y67" i="2" s="1"/>
  <c r="Y68" i="2" s="1"/>
  <c r="Y69" i="2" s="1"/>
  <c r="Y70" i="2" s="1"/>
  <c r="Y71" i="2" s="1"/>
  <c r="Y72" i="2" s="1"/>
  <c r="Y73" i="2" s="1"/>
  <c r="Y74" i="2" s="1"/>
  <c r="Y75" i="2" s="1"/>
  <c r="Y76" i="2" s="1"/>
  <c r="Y77" i="2" s="1"/>
  <c r="Y78" i="2" s="1"/>
  <c r="Y79" i="2" s="1"/>
  <c r="Y80" i="2" s="1"/>
  <c r="Y81" i="2" s="1"/>
  <c r="Y82" i="2" s="1"/>
  <c r="Y83" i="2" s="1"/>
  <c r="Y84" i="2" s="1"/>
  <c r="Y85" i="2" s="1"/>
  <c r="Y86" i="2" s="1"/>
  <c r="Y87" i="2" s="1"/>
  <c r="Y88" i="2" s="1"/>
  <c r="Y89" i="2" s="1"/>
  <c r="Y90" i="2" s="1"/>
  <c r="Y91" i="2" s="1"/>
  <c r="Y92" i="2" s="1"/>
  <c r="F28" i="2" s="1"/>
  <c r="Z3" i="2"/>
  <c r="Z4" i="2" s="1"/>
  <c r="Z5" i="2" s="1"/>
  <c r="Z6" i="2" s="1"/>
  <c r="Z7" i="2" s="1"/>
  <c r="Z8" i="2" s="1"/>
  <c r="Z9" i="2" s="1"/>
  <c r="Z10" i="2" s="1"/>
  <c r="Z11" i="2" s="1"/>
  <c r="Z12" i="2" s="1"/>
  <c r="Z13" i="2" s="1"/>
  <c r="Z14" i="2" s="1"/>
  <c r="Z15" i="2" s="1"/>
  <c r="Z16" i="2" s="1"/>
  <c r="Z17" i="2" s="1"/>
  <c r="Z18" i="2" s="1"/>
  <c r="Z19" i="2" s="1"/>
  <c r="Z20" i="2" s="1"/>
  <c r="Z21" i="2" s="1"/>
  <c r="Z22" i="2" s="1"/>
  <c r="Z23" i="2" s="1"/>
  <c r="Z24" i="2" s="1"/>
  <c r="Z25" i="2" s="1"/>
  <c r="Z26" i="2" s="1"/>
  <c r="Z27" i="2" s="1"/>
  <c r="Z28" i="2" s="1"/>
  <c r="Z29" i="2" s="1"/>
  <c r="Z30" i="2" s="1"/>
  <c r="Z31" i="2" s="1"/>
  <c r="Z32" i="2" s="1"/>
  <c r="Z33" i="2" s="1"/>
  <c r="Z34" i="2" s="1"/>
  <c r="Z35" i="2" s="1"/>
  <c r="Z36" i="2" s="1"/>
  <c r="Z37" i="2" s="1"/>
  <c r="Z38" i="2" s="1"/>
  <c r="Z39" i="2" s="1"/>
  <c r="Z40" i="2" s="1"/>
  <c r="Z41" i="2" s="1"/>
  <c r="Z42" i="2" s="1"/>
  <c r="Z43" i="2" s="1"/>
  <c r="Z44" i="2" s="1"/>
  <c r="Z45" i="2" s="1"/>
  <c r="Z46" i="2" s="1"/>
  <c r="Z47" i="2" s="1"/>
  <c r="Z48" i="2" s="1"/>
  <c r="Z49" i="2" s="1"/>
  <c r="Z50" i="2" s="1"/>
  <c r="Z51" i="2" s="1"/>
  <c r="Z52" i="2" s="1"/>
  <c r="Z53" i="2" s="1"/>
  <c r="Z54" i="2" s="1"/>
  <c r="Z55" i="2" s="1"/>
  <c r="Z56" i="2" s="1"/>
  <c r="Z57" i="2" s="1"/>
  <c r="Z58" i="2" s="1"/>
  <c r="Z59" i="2" s="1"/>
  <c r="Z60" i="2" s="1"/>
  <c r="Z61" i="2" s="1"/>
  <c r="Z62" i="2" s="1"/>
  <c r="Z63" i="2" s="1"/>
  <c r="Z64" i="2" s="1"/>
  <c r="Z65" i="2" s="1"/>
  <c r="Z66" i="2" s="1"/>
  <c r="Z67" i="2" s="1"/>
  <c r="Z68" i="2" s="1"/>
  <c r="Z69" i="2" s="1"/>
  <c r="Z70" i="2" s="1"/>
  <c r="Z71" i="2" s="1"/>
  <c r="Z72" i="2" s="1"/>
  <c r="Z73" i="2" s="1"/>
  <c r="Z74" i="2" s="1"/>
  <c r="Z75" i="2" s="1"/>
  <c r="Z76" i="2" s="1"/>
  <c r="Z77" i="2" s="1"/>
  <c r="Z78" i="2" s="1"/>
  <c r="Z79" i="2" s="1"/>
  <c r="Z80" i="2" s="1"/>
  <c r="Z81" i="2" s="1"/>
  <c r="Z82" i="2" s="1"/>
  <c r="Z83" i="2" s="1"/>
  <c r="Z84" i="2" s="1"/>
  <c r="Z85" i="2" s="1"/>
  <c r="Z86" i="2" s="1"/>
  <c r="Z87" i="2" s="1"/>
  <c r="Z88" i="2" s="1"/>
  <c r="Z89" i="2" s="1"/>
  <c r="Z90" i="2" s="1"/>
  <c r="Z91" i="2" s="1"/>
  <c r="Z92" i="2" s="1"/>
  <c r="G28" i="2" s="1"/>
  <c r="AA3" i="2"/>
  <c r="AA4" i="2" s="1"/>
  <c r="AA5" i="2" s="1"/>
  <c r="AA6" i="2" s="1"/>
  <c r="AA7" i="2" s="1"/>
  <c r="AA8" i="2" s="1"/>
  <c r="AA9" i="2" s="1"/>
  <c r="AA10" i="2" s="1"/>
  <c r="AA11" i="2" s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A35" i="2" s="1"/>
  <c r="AA36" i="2" s="1"/>
  <c r="AA37" i="2" s="1"/>
  <c r="AA38" i="2" s="1"/>
  <c r="AA39" i="2" s="1"/>
  <c r="AA40" i="2" s="1"/>
  <c r="AA41" i="2" s="1"/>
  <c r="AA42" i="2" s="1"/>
  <c r="AA43" i="2" s="1"/>
  <c r="AA44" i="2" s="1"/>
  <c r="AA45" i="2" s="1"/>
  <c r="AA46" i="2" s="1"/>
  <c r="AA47" i="2" s="1"/>
  <c r="AA48" i="2" s="1"/>
  <c r="AA49" i="2" s="1"/>
  <c r="AA50" i="2" s="1"/>
  <c r="AA51" i="2" s="1"/>
  <c r="AA52" i="2" s="1"/>
  <c r="AA53" i="2" s="1"/>
  <c r="AA54" i="2" s="1"/>
  <c r="AA55" i="2" s="1"/>
  <c r="AA56" i="2" s="1"/>
  <c r="AA57" i="2" s="1"/>
  <c r="AA58" i="2" s="1"/>
  <c r="AA59" i="2" s="1"/>
  <c r="AA60" i="2" s="1"/>
  <c r="AA61" i="2" s="1"/>
  <c r="AA62" i="2" s="1"/>
  <c r="AA63" i="2" s="1"/>
  <c r="AA64" i="2" s="1"/>
  <c r="AA65" i="2" s="1"/>
  <c r="AA66" i="2" s="1"/>
  <c r="AA67" i="2" s="1"/>
  <c r="AA68" i="2" s="1"/>
  <c r="AA69" i="2" s="1"/>
  <c r="AA70" i="2" s="1"/>
  <c r="AA71" i="2" s="1"/>
  <c r="AA72" i="2" s="1"/>
  <c r="AA73" i="2" s="1"/>
  <c r="AA74" i="2" s="1"/>
  <c r="AA75" i="2" s="1"/>
  <c r="AA76" i="2" s="1"/>
  <c r="AA77" i="2" s="1"/>
  <c r="AA78" i="2" s="1"/>
  <c r="AA79" i="2" s="1"/>
  <c r="AA80" i="2" s="1"/>
  <c r="AA81" i="2" s="1"/>
  <c r="AA82" i="2" s="1"/>
  <c r="AA83" i="2" s="1"/>
  <c r="AA84" i="2" s="1"/>
  <c r="AA85" i="2" s="1"/>
  <c r="AA86" i="2" s="1"/>
  <c r="AA87" i="2" s="1"/>
  <c r="AA88" i="2" s="1"/>
  <c r="AA89" i="2" s="1"/>
  <c r="AA90" i="2" s="1"/>
  <c r="AA91" i="2" s="1"/>
  <c r="AA92" i="2" s="1"/>
  <c r="H28" i="2" s="1"/>
  <c r="U3" i="2"/>
  <c r="U4" i="2" s="1"/>
  <c r="U5" i="2" s="1"/>
  <c r="U6" i="2" s="1"/>
  <c r="U7" i="2" s="1"/>
  <c r="U8" i="2" s="1"/>
  <c r="U9" i="2" s="1"/>
  <c r="U10" i="2" s="1"/>
  <c r="U11" i="2" s="1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B28" i="2" s="1"/>
  <c r="M3" i="2"/>
  <c r="M4" i="2" s="1"/>
  <c r="M5" i="2" s="1"/>
  <c r="M6" i="2" s="1"/>
  <c r="M7" i="2" s="1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M38" i="2" s="1"/>
  <c r="M39" i="2" s="1"/>
  <c r="M40" i="2" s="1"/>
  <c r="M41" i="2" s="1"/>
  <c r="M42" i="2" s="1"/>
  <c r="M43" i="2" s="1"/>
  <c r="M44" i="2" s="1"/>
  <c r="M45" i="2" s="1"/>
  <c r="M46" i="2" s="1"/>
  <c r="M47" i="2" s="1"/>
  <c r="M48" i="2" s="1"/>
  <c r="M49" i="2" s="1"/>
  <c r="M50" i="2" s="1"/>
  <c r="M51" i="2" s="1"/>
  <c r="M52" i="2" s="1"/>
  <c r="M53" i="2" s="1"/>
  <c r="M54" i="2" s="1"/>
  <c r="M55" i="2" s="1"/>
  <c r="M56" i="2" s="1"/>
  <c r="M57" i="2" s="1"/>
  <c r="M58" i="2" s="1"/>
  <c r="M59" i="2" s="1"/>
  <c r="M60" i="2" s="1"/>
  <c r="M61" i="2" s="1"/>
  <c r="M62" i="2" s="1"/>
  <c r="M63" i="2" s="1"/>
  <c r="M64" i="2" s="1"/>
  <c r="M65" i="2" s="1"/>
  <c r="M66" i="2" s="1"/>
  <c r="M67" i="2" s="1"/>
  <c r="M68" i="2" s="1"/>
  <c r="M69" i="2" s="1"/>
  <c r="M70" i="2" s="1"/>
  <c r="M71" i="2" s="1"/>
  <c r="M72" i="2" s="1"/>
  <c r="M73" i="2" s="1"/>
  <c r="M74" i="2" s="1"/>
  <c r="M75" i="2" s="1"/>
  <c r="M76" i="2" s="1"/>
  <c r="M77" i="2" s="1"/>
  <c r="M78" i="2" s="1"/>
  <c r="M79" i="2" s="1"/>
  <c r="M80" i="2" s="1"/>
  <c r="M81" i="2" s="1"/>
  <c r="M82" i="2" s="1"/>
  <c r="M83" i="2" s="1"/>
  <c r="M84" i="2" s="1"/>
  <c r="M85" i="2" s="1"/>
  <c r="M86" i="2" s="1"/>
  <c r="M87" i="2" s="1"/>
  <c r="M88" i="2" s="1"/>
  <c r="M89" i="2" s="1"/>
  <c r="M90" i="2" s="1"/>
  <c r="M91" i="2" s="1"/>
  <c r="M92" i="2" s="1"/>
  <c r="B25" i="2" s="1"/>
  <c r="T3" i="2"/>
  <c r="T4" i="2" s="1"/>
  <c r="T5" i="2" s="1"/>
  <c r="T6" i="2" s="1"/>
  <c r="T7" i="2" s="1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T38" i="2" s="1"/>
  <c r="T39" i="2" s="1"/>
  <c r="T40" i="2" s="1"/>
  <c r="T41" i="2" s="1"/>
  <c r="T42" i="2" s="1"/>
  <c r="T43" i="2" s="1"/>
  <c r="T44" i="2" s="1"/>
  <c r="T45" i="2" s="1"/>
  <c r="T46" i="2" s="1"/>
  <c r="T47" i="2" s="1"/>
  <c r="T48" i="2" s="1"/>
  <c r="T49" i="2" s="1"/>
  <c r="T50" i="2" s="1"/>
  <c r="T51" i="2" s="1"/>
  <c r="T52" i="2" s="1"/>
  <c r="T53" i="2" s="1"/>
  <c r="T54" i="2" s="1"/>
  <c r="T55" i="2" s="1"/>
  <c r="T56" i="2" s="1"/>
  <c r="T57" i="2" s="1"/>
  <c r="T58" i="2" s="1"/>
  <c r="T59" i="2" s="1"/>
  <c r="T60" i="2" s="1"/>
  <c r="T61" i="2" s="1"/>
  <c r="T62" i="2" s="1"/>
  <c r="T63" i="2" s="1"/>
  <c r="T64" i="2" s="1"/>
  <c r="T65" i="2" s="1"/>
  <c r="T66" i="2" s="1"/>
  <c r="T67" i="2" s="1"/>
  <c r="T68" i="2" s="1"/>
  <c r="T69" i="2" s="1"/>
  <c r="T70" i="2" s="1"/>
  <c r="T71" i="2" s="1"/>
  <c r="T72" i="2" s="1"/>
  <c r="T73" i="2" s="1"/>
  <c r="T74" i="2" s="1"/>
  <c r="T75" i="2" s="1"/>
  <c r="T76" i="2" s="1"/>
  <c r="T77" i="2" s="1"/>
  <c r="T78" i="2" s="1"/>
  <c r="T79" i="2" s="1"/>
  <c r="T80" i="2" s="1"/>
  <c r="T81" i="2" s="1"/>
  <c r="T82" i="2" s="1"/>
  <c r="T83" i="2" s="1"/>
  <c r="T84" i="2" s="1"/>
  <c r="T85" i="2" s="1"/>
  <c r="T86" i="2" s="1"/>
  <c r="T87" i="2" s="1"/>
  <c r="T88" i="2" s="1"/>
  <c r="T89" i="2" s="1"/>
  <c r="T90" i="2" s="1"/>
  <c r="T91" i="2" s="1"/>
  <c r="T92" i="2" s="1"/>
  <c r="L3" i="2"/>
  <c r="L4" i="2" s="1"/>
  <c r="L5" i="2" s="1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L38" i="2" s="1"/>
  <c r="L39" i="2" s="1"/>
  <c r="L40" i="2" s="1"/>
  <c r="L41" i="2" s="1"/>
  <c r="L42" i="2" s="1"/>
  <c r="L43" i="2" s="1"/>
  <c r="L44" i="2" s="1"/>
  <c r="L45" i="2" s="1"/>
  <c r="L46" i="2" s="1"/>
  <c r="L47" i="2" s="1"/>
  <c r="L48" i="2" s="1"/>
  <c r="L49" i="2" s="1"/>
  <c r="L50" i="2" s="1"/>
  <c r="L51" i="2" s="1"/>
  <c r="L52" i="2" s="1"/>
  <c r="L53" i="2" s="1"/>
  <c r="L54" i="2" s="1"/>
  <c r="L55" i="2" s="1"/>
  <c r="L56" i="2" s="1"/>
  <c r="L57" i="2" s="1"/>
  <c r="L58" i="2" s="1"/>
  <c r="L59" i="2" s="1"/>
  <c r="L60" i="2" s="1"/>
  <c r="L61" i="2" s="1"/>
  <c r="L62" i="2" s="1"/>
  <c r="L63" i="2" s="1"/>
  <c r="L64" i="2" s="1"/>
  <c r="L65" i="2" s="1"/>
  <c r="L66" i="2" s="1"/>
  <c r="L67" i="2" s="1"/>
  <c r="L68" i="2" s="1"/>
  <c r="L69" i="2" s="1"/>
  <c r="L70" i="2" s="1"/>
  <c r="L71" i="2" s="1"/>
  <c r="L72" i="2" s="1"/>
  <c r="L73" i="2" s="1"/>
  <c r="L74" i="2" s="1"/>
  <c r="L75" i="2" s="1"/>
  <c r="L76" i="2" s="1"/>
  <c r="L77" i="2" s="1"/>
  <c r="L78" i="2" s="1"/>
  <c r="L79" i="2" s="1"/>
  <c r="L80" i="2" s="1"/>
  <c r="L81" i="2" s="1"/>
  <c r="L82" i="2" s="1"/>
  <c r="L83" i="2" s="1"/>
  <c r="L84" i="2" s="1"/>
  <c r="L85" i="2" s="1"/>
  <c r="L86" i="2" s="1"/>
  <c r="L87" i="2" s="1"/>
  <c r="L88" i="2" s="1"/>
  <c r="L89" i="2" s="1"/>
  <c r="L90" i="2" s="1"/>
  <c r="L91" i="2" s="1"/>
  <c r="L92" i="2" s="1"/>
  <c r="S1" i="2"/>
  <c r="AA1" i="2" s="1"/>
  <c r="S2" i="2"/>
  <c r="H24" i="2" s="1"/>
  <c r="S3" i="2"/>
  <c r="S4" i="2" s="1"/>
  <c r="S5" i="2" s="1"/>
  <c r="S6" i="2" s="1"/>
  <c r="S7" i="2" s="1"/>
  <c r="S8" i="2" s="1"/>
  <c r="S9" i="2" s="1"/>
  <c r="S10" i="2" s="1"/>
  <c r="S11" i="2" s="1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S38" i="2" s="1"/>
  <c r="S39" i="2" s="1"/>
  <c r="S40" i="2" s="1"/>
  <c r="S41" i="2" s="1"/>
  <c r="S42" i="2" s="1"/>
  <c r="S43" i="2" s="1"/>
  <c r="S44" i="2" s="1"/>
  <c r="S45" i="2" s="1"/>
  <c r="S46" i="2" s="1"/>
  <c r="S47" i="2" s="1"/>
  <c r="S48" i="2" s="1"/>
  <c r="S49" i="2" s="1"/>
  <c r="S50" i="2" s="1"/>
  <c r="S51" i="2" s="1"/>
  <c r="S52" i="2" s="1"/>
  <c r="S53" i="2" s="1"/>
  <c r="S54" i="2" s="1"/>
  <c r="S55" i="2" s="1"/>
  <c r="S56" i="2" s="1"/>
  <c r="S57" i="2" s="1"/>
  <c r="S58" i="2" s="1"/>
  <c r="S59" i="2" s="1"/>
  <c r="S60" i="2" s="1"/>
  <c r="S61" i="2" s="1"/>
  <c r="S62" i="2" s="1"/>
  <c r="S63" i="2" s="1"/>
  <c r="S64" i="2" s="1"/>
  <c r="S65" i="2" s="1"/>
  <c r="S66" i="2" s="1"/>
  <c r="S67" i="2" s="1"/>
  <c r="S68" i="2" s="1"/>
  <c r="S69" i="2" s="1"/>
  <c r="S70" i="2" s="1"/>
  <c r="S71" i="2" s="1"/>
  <c r="S72" i="2" s="1"/>
  <c r="S73" i="2" s="1"/>
  <c r="S74" i="2" s="1"/>
  <c r="S75" i="2" s="1"/>
  <c r="S76" i="2" s="1"/>
  <c r="S77" i="2" s="1"/>
  <c r="S78" i="2" s="1"/>
  <c r="S79" i="2" s="1"/>
  <c r="S80" i="2" s="1"/>
  <c r="S81" i="2" s="1"/>
  <c r="S82" i="2" s="1"/>
  <c r="S83" i="2" s="1"/>
  <c r="S84" i="2" s="1"/>
  <c r="S85" i="2" s="1"/>
  <c r="S86" i="2" s="1"/>
  <c r="S87" i="2" s="1"/>
  <c r="S88" i="2" s="1"/>
  <c r="S89" i="2" s="1"/>
  <c r="S90" i="2" s="1"/>
  <c r="S91" i="2" s="1"/>
  <c r="S92" i="2" s="1"/>
  <c r="H25" i="2" s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D3" i="3"/>
  <c r="D4" i="3" s="1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C2" i="3"/>
  <c r="C1" i="3"/>
  <c r="N3" i="2"/>
  <c r="N4" i="2" s="1"/>
  <c r="N5" i="2" s="1"/>
  <c r="N6" i="2" s="1"/>
  <c r="N7" i="2" s="1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C25" i="2" s="1"/>
  <c r="O3" i="2"/>
  <c r="O4" i="2" s="1"/>
  <c r="O5" i="2" s="1"/>
  <c r="O6" i="2" s="1"/>
  <c r="O7" i="2" s="1"/>
  <c r="O8" i="2" s="1"/>
  <c r="O9" i="2" s="1"/>
  <c r="O10" i="2" s="1"/>
  <c r="O11" i="2" s="1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D25" i="2" s="1"/>
  <c r="P3" i="2"/>
  <c r="P4" i="2" s="1"/>
  <c r="P5" i="2" s="1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E25" i="2" s="1"/>
  <c r="Q3" i="2"/>
  <c r="Q4" i="2" s="1"/>
  <c r="Q5" i="2" s="1"/>
  <c r="Q6" i="2" s="1"/>
  <c r="Q7" i="2" s="1"/>
  <c r="Q8" i="2" s="1"/>
  <c r="Q9" i="2" s="1"/>
  <c r="Q10" i="2" s="1"/>
  <c r="Q11" i="2" s="1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Q38" i="2" s="1"/>
  <c r="Q39" i="2" s="1"/>
  <c r="Q40" i="2" s="1"/>
  <c r="Q41" i="2" s="1"/>
  <c r="Q42" i="2" s="1"/>
  <c r="Q43" i="2" s="1"/>
  <c r="Q44" i="2" s="1"/>
  <c r="Q45" i="2" s="1"/>
  <c r="Q46" i="2" s="1"/>
  <c r="Q47" i="2" s="1"/>
  <c r="Q48" i="2" s="1"/>
  <c r="Q49" i="2" s="1"/>
  <c r="Q50" i="2" s="1"/>
  <c r="Q51" i="2" s="1"/>
  <c r="Q52" i="2" s="1"/>
  <c r="Q53" i="2" s="1"/>
  <c r="Q54" i="2" s="1"/>
  <c r="Q55" i="2" s="1"/>
  <c r="Q56" i="2" s="1"/>
  <c r="Q57" i="2" s="1"/>
  <c r="Q58" i="2" s="1"/>
  <c r="Q59" i="2" s="1"/>
  <c r="Q60" i="2" s="1"/>
  <c r="Q61" i="2" s="1"/>
  <c r="Q62" i="2" s="1"/>
  <c r="Q63" i="2" s="1"/>
  <c r="Q64" i="2" s="1"/>
  <c r="Q65" i="2" s="1"/>
  <c r="Q66" i="2" s="1"/>
  <c r="Q67" i="2" s="1"/>
  <c r="Q68" i="2" s="1"/>
  <c r="Q69" i="2" s="1"/>
  <c r="Q70" i="2" s="1"/>
  <c r="Q71" i="2" s="1"/>
  <c r="Q72" i="2" s="1"/>
  <c r="Q73" i="2" s="1"/>
  <c r="Q74" i="2" s="1"/>
  <c r="Q75" i="2" s="1"/>
  <c r="Q76" i="2" s="1"/>
  <c r="Q77" i="2" s="1"/>
  <c r="Q78" i="2" s="1"/>
  <c r="Q79" i="2" s="1"/>
  <c r="Q80" i="2" s="1"/>
  <c r="Q81" i="2" s="1"/>
  <c r="Q82" i="2" s="1"/>
  <c r="Q83" i="2" s="1"/>
  <c r="Q84" i="2" s="1"/>
  <c r="Q85" i="2" s="1"/>
  <c r="Q86" i="2" s="1"/>
  <c r="Q87" i="2" s="1"/>
  <c r="Q88" i="2" s="1"/>
  <c r="Q89" i="2" s="1"/>
  <c r="Q90" i="2" s="1"/>
  <c r="Q91" i="2" s="1"/>
  <c r="Q92" i="2" s="1"/>
  <c r="F25" i="2" s="1"/>
  <c r="R3" i="2"/>
  <c r="R4" i="2" s="1"/>
  <c r="R5" i="2" s="1"/>
  <c r="R6" i="2" s="1"/>
  <c r="R7" i="2" s="1"/>
  <c r="R8" i="2" s="1"/>
  <c r="R9" i="2" s="1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6" i="2" s="1"/>
  <c r="R37" i="2" s="1"/>
  <c r="R38" i="2" s="1"/>
  <c r="R39" i="2" s="1"/>
  <c r="R40" i="2" s="1"/>
  <c r="R41" i="2" s="1"/>
  <c r="R42" i="2" s="1"/>
  <c r="R43" i="2" s="1"/>
  <c r="R44" i="2" s="1"/>
  <c r="R45" i="2" s="1"/>
  <c r="R46" i="2" s="1"/>
  <c r="R47" i="2" s="1"/>
  <c r="R48" i="2" s="1"/>
  <c r="R49" i="2" s="1"/>
  <c r="R50" i="2" s="1"/>
  <c r="R51" i="2" s="1"/>
  <c r="R52" i="2" s="1"/>
  <c r="R53" i="2" s="1"/>
  <c r="R54" i="2" s="1"/>
  <c r="R55" i="2" s="1"/>
  <c r="R56" i="2" s="1"/>
  <c r="R57" i="2" s="1"/>
  <c r="R58" i="2" s="1"/>
  <c r="R59" i="2" s="1"/>
  <c r="R60" i="2" s="1"/>
  <c r="R61" i="2" s="1"/>
  <c r="R62" i="2" s="1"/>
  <c r="R63" i="2" s="1"/>
  <c r="R64" i="2" s="1"/>
  <c r="R65" i="2" s="1"/>
  <c r="R66" i="2" s="1"/>
  <c r="R67" i="2" s="1"/>
  <c r="R68" i="2" s="1"/>
  <c r="R69" i="2" s="1"/>
  <c r="R70" i="2" s="1"/>
  <c r="R71" i="2" s="1"/>
  <c r="R72" i="2" s="1"/>
  <c r="R73" i="2" s="1"/>
  <c r="R74" i="2" s="1"/>
  <c r="R75" i="2" s="1"/>
  <c r="R76" i="2" s="1"/>
  <c r="R77" i="2" s="1"/>
  <c r="R78" i="2" s="1"/>
  <c r="R79" i="2" s="1"/>
  <c r="R80" i="2" s="1"/>
  <c r="R81" i="2" s="1"/>
  <c r="R82" i="2" s="1"/>
  <c r="R83" i="2" s="1"/>
  <c r="R84" i="2" s="1"/>
  <c r="R85" i="2" s="1"/>
  <c r="R86" i="2" s="1"/>
  <c r="R87" i="2" s="1"/>
  <c r="R88" i="2" s="1"/>
  <c r="R89" i="2" s="1"/>
  <c r="R90" i="2" s="1"/>
  <c r="R91" i="2" s="1"/>
  <c r="R92" i="2" s="1"/>
  <c r="G25" i="2" s="1"/>
  <c r="M1" i="2"/>
  <c r="U1" i="2" s="1"/>
  <c r="N1" i="2"/>
  <c r="V1" i="2" s="1"/>
  <c r="O1" i="2"/>
  <c r="W1" i="2" s="1"/>
  <c r="P1" i="2"/>
  <c r="X1" i="2" s="1"/>
  <c r="Q1" i="2"/>
  <c r="Y1" i="2" s="1"/>
  <c r="R1" i="2"/>
  <c r="Z1" i="2" s="1"/>
  <c r="L1" i="2"/>
  <c r="T1" i="2" s="1"/>
  <c r="M2" i="2"/>
  <c r="B24" i="2" s="1"/>
  <c r="N2" i="2"/>
  <c r="V2" i="2" s="1"/>
  <c r="C27" i="2" s="1"/>
  <c r="O2" i="2"/>
  <c r="W2" i="2" s="1"/>
  <c r="D27" i="2" s="1"/>
  <c r="P2" i="2"/>
  <c r="X2" i="2" s="1"/>
  <c r="E27" i="2" s="1"/>
  <c r="Q2" i="2"/>
  <c r="Y2" i="2" s="1"/>
  <c r="F27" i="2" s="1"/>
  <c r="R2" i="2"/>
  <c r="Z2" i="2" s="1"/>
  <c r="G27" i="2" s="1"/>
  <c r="L2" i="2"/>
  <c r="T2" i="2" s="1"/>
  <c r="G28" i="6"/>
  <c r="H27" i="6"/>
  <c r="G27" i="5"/>
  <c r="H27" i="5"/>
  <c r="E27" i="5"/>
  <c r="F27" i="5"/>
  <c r="C27" i="5"/>
  <c r="D27" i="5"/>
  <c r="Z2" i="4" l="1"/>
  <c r="H27" i="4" s="1"/>
  <c r="Y2" i="4"/>
  <c r="G27" i="4" s="1"/>
  <c r="X2" i="4"/>
  <c r="F27" i="4" s="1"/>
  <c r="W2" i="4"/>
  <c r="E27" i="4" s="1"/>
  <c r="V2" i="4"/>
  <c r="D27" i="4" s="1"/>
  <c r="B24" i="5"/>
  <c r="E24" i="6"/>
  <c r="D24" i="6"/>
  <c r="C24" i="6"/>
  <c r="B24" i="6"/>
  <c r="U2" i="4"/>
  <c r="C27" i="4" s="1"/>
  <c r="B24" i="4"/>
  <c r="X2" i="6"/>
  <c r="F27" i="6" s="1"/>
  <c r="F24" i="2"/>
  <c r="E24" i="2"/>
  <c r="D24" i="2"/>
  <c r="AA2" i="2"/>
  <c r="H27" i="2" s="1"/>
  <c r="G24" i="2"/>
  <c r="C24" i="2"/>
  <c r="U2" i="2"/>
  <c r="B27" i="2" s="1"/>
</calcChain>
</file>

<file path=xl/sharedStrings.xml><?xml version="1.0" encoding="utf-8"?>
<sst xmlns="http://schemas.openxmlformats.org/spreadsheetml/2006/main" count="35" uniqueCount="8">
  <si>
    <t>Ville</t>
  </si>
  <si>
    <t>Département</t>
  </si>
  <si>
    <t>County</t>
  </si>
  <si>
    <t>Seuil (143°J)</t>
  </si>
  <si>
    <t>Base 4°C</t>
  </si>
  <si>
    <t>Cumul de Température (°C)</t>
  </si>
  <si>
    <t>Base 0°C</t>
  </si>
  <si>
    <t>Caderousse (84) - Base 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</si>
</sst>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0" fillId="0" borderId="0" xfId="0" applyAlignment="1">
      <alignment horizontal="center" vertical="top"/>
    </xf>
    <xf numFmtId="16" fontId="0" fillId="0" borderId="1" xfId="0" applyNumberFormat="1" applyBorder="1" applyAlignment="1">
      <alignment horizontal="right" vertical="top"/>
    </xf>
    <xf numFmtId="0" fontId="0" fillId="0" borderId="0" xfId="0" applyAlignment="1">
      <alignment horizontal="right" vertical="top"/>
    </xf>
    <xf numFmtId="0" fontId="1" fillId="2" borderId="0" xfId="0" applyFont="1" applyFill="1" applyAlignment="1">
      <alignment horizontal="center" vertical="top"/>
    </xf>
    <xf numFmtId="16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6" fontId="0" fillId="0" borderId="1" xfId="0" applyNumberFormat="1" applyBorder="1"/>
    <xf numFmtId="0" fontId="0" fillId="0" borderId="1" xfId="0" applyBorder="1"/>
    <xf numFmtId="0" fontId="0" fillId="0" borderId="0" xfId="0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1975A"/>
      <color rgb="FF43682B"/>
      <color rgb="FFFFCD33"/>
      <color rgb="FF997300"/>
      <color rgb="FF9E480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Cumul de température depuis le 1er Janvier (base 4°C)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278426531429334"/>
          <c:y val="0.13078577336641853"/>
          <c:w val="0.8548428533297745"/>
          <c:h val="0.61247780751971759"/>
        </c:manualLayout>
      </c:layout>
      <c:lineChart>
        <c:grouping val="standard"/>
        <c:varyColors val="0"/>
        <c:ser>
          <c:idx val="0"/>
          <c:order val="0"/>
          <c:tx>
            <c:strRef>
              <c:f>Test!$B$2</c:f>
              <c:strCache>
                <c:ptCount val="1"/>
                <c:pt idx="0">
                  <c:v>Seuil (143°J)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521186440677967E-2"/>
                  <c:y val="-1.32340777502067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441-444B-9608-F70495D0C82E}"/>
                </c:ext>
              </c:extLst>
            </c:dLbl>
            <c:dLbl>
              <c:idx val="58"/>
              <c:layout>
                <c:manualLayout>
                  <c:x val="-4.2372881355932203E-3"/>
                  <c:y val="-3.308519437551695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441-444B-9608-F70495D0C8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Test!$A$3:$A$61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Test!$B$3:$B$61</c:f>
              <c:numCache>
                <c:formatCode>General</c:formatCode>
                <c:ptCount val="59"/>
                <c:pt idx="0">
                  <c:v>143</c:v>
                </c:pt>
                <c:pt idx="1">
                  <c:v>143</c:v>
                </c:pt>
                <c:pt idx="2">
                  <c:v>143</c:v>
                </c:pt>
                <c:pt idx="3">
                  <c:v>143</c:v>
                </c:pt>
                <c:pt idx="4">
                  <c:v>143</c:v>
                </c:pt>
                <c:pt idx="5">
                  <c:v>143</c:v>
                </c:pt>
                <c:pt idx="6">
                  <c:v>143</c:v>
                </c:pt>
                <c:pt idx="7">
                  <c:v>143</c:v>
                </c:pt>
                <c:pt idx="8">
                  <c:v>143</c:v>
                </c:pt>
                <c:pt idx="9">
                  <c:v>143</c:v>
                </c:pt>
                <c:pt idx="10">
                  <c:v>143</c:v>
                </c:pt>
                <c:pt idx="11">
                  <c:v>143</c:v>
                </c:pt>
                <c:pt idx="12">
                  <c:v>143</c:v>
                </c:pt>
                <c:pt idx="13">
                  <c:v>143</c:v>
                </c:pt>
                <c:pt idx="14">
                  <c:v>143</c:v>
                </c:pt>
                <c:pt idx="15">
                  <c:v>143</c:v>
                </c:pt>
                <c:pt idx="16">
                  <c:v>143</c:v>
                </c:pt>
                <c:pt idx="17">
                  <c:v>143</c:v>
                </c:pt>
                <c:pt idx="18">
                  <c:v>143</c:v>
                </c:pt>
                <c:pt idx="19">
                  <c:v>143</c:v>
                </c:pt>
                <c:pt idx="20">
                  <c:v>143</c:v>
                </c:pt>
                <c:pt idx="21">
                  <c:v>143</c:v>
                </c:pt>
                <c:pt idx="22">
                  <c:v>143</c:v>
                </c:pt>
                <c:pt idx="23">
                  <c:v>143</c:v>
                </c:pt>
                <c:pt idx="24">
                  <c:v>143</c:v>
                </c:pt>
                <c:pt idx="25">
                  <c:v>143</c:v>
                </c:pt>
                <c:pt idx="26">
                  <c:v>143</c:v>
                </c:pt>
                <c:pt idx="27">
                  <c:v>143</c:v>
                </c:pt>
                <c:pt idx="28">
                  <c:v>143</c:v>
                </c:pt>
                <c:pt idx="29">
                  <c:v>143</c:v>
                </c:pt>
                <c:pt idx="30">
                  <c:v>143</c:v>
                </c:pt>
                <c:pt idx="31">
                  <c:v>143</c:v>
                </c:pt>
                <c:pt idx="32">
                  <c:v>143</c:v>
                </c:pt>
                <c:pt idx="33">
                  <c:v>143</c:v>
                </c:pt>
                <c:pt idx="34">
                  <c:v>143</c:v>
                </c:pt>
                <c:pt idx="35">
                  <c:v>143</c:v>
                </c:pt>
                <c:pt idx="36">
                  <c:v>143</c:v>
                </c:pt>
                <c:pt idx="37">
                  <c:v>143</c:v>
                </c:pt>
                <c:pt idx="38">
                  <c:v>143</c:v>
                </c:pt>
                <c:pt idx="39">
                  <c:v>143</c:v>
                </c:pt>
                <c:pt idx="40">
                  <c:v>143</c:v>
                </c:pt>
                <c:pt idx="41">
                  <c:v>143</c:v>
                </c:pt>
                <c:pt idx="42">
                  <c:v>143</c:v>
                </c:pt>
                <c:pt idx="43">
                  <c:v>143</c:v>
                </c:pt>
                <c:pt idx="44">
                  <c:v>143</c:v>
                </c:pt>
                <c:pt idx="45">
                  <c:v>143</c:v>
                </c:pt>
                <c:pt idx="46">
                  <c:v>143</c:v>
                </c:pt>
                <c:pt idx="47">
                  <c:v>143</c:v>
                </c:pt>
                <c:pt idx="48">
                  <c:v>143</c:v>
                </c:pt>
                <c:pt idx="49">
                  <c:v>143</c:v>
                </c:pt>
                <c:pt idx="50">
                  <c:v>143</c:v>
                </c:pt>
                <c:pt idx="51">
                  <c:v>143</c:v>
                </c:pt>
                <c:pt idx="52">
                  <c:v>143</c:v>
                </c:pt>
                <c:pt idx="53">
                  <c:v>143</c:v>
                </c:pt>
                <c:pt idx="54">
                  <c:v>143</c:v>
                </c:pt>
                <c:pt idx="55">
                  <c:v>143</c:v>
                </c:pt>
                <c:pt idx="56">
                  <c:v>143</c:v>
                </c:pt>
                <c:pt idx="57">
                  <c:v>143</c:v>
                </c:pt>
                <c:pt idx="58">
                  <c:v>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41-444B-9608-F70495D0C82E}"/>
            </c:ext>
          </c:extLst>
        </c:ser>
        <c:ser>
          <c:idx val="1"/>
          <c:order val="1"/>
          <c:tx>
            <c:strRef>
              <c:f>Test!$C$2</c:f>
              <c:strCache>
                <c:ptCount val="1"/>
                <c:pt idx="0">
                  <c:v>#NOM?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441-444B-9608-F70495D0C8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Test!$A$3:$A$61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Test!$C$3:$C$61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0-2441-444B-9608-F70495D0C82E}"/>
            </c:ext>
          </c:extLst>
        </c:ser>
        <c:ser>
          <c:idx val="2"/>
          <c:order val="2"/>
          <c:tx>
            <c:strRef>
              <c:f>Test!$D$2</c:f>
              <c:strCache>
                <c:ptCount val="1"/>
                <c:pt idx="0">
                  <c:v>Caderousse (84) - Base 0°</c:v>
                </c:pt>
              </c:strCache>
            </c:strRef>
          </c:tx>
          <c:spPr>
            <a:ln>
              <a:prstDash val="lgDash"/>
            </a:ln>
          </c:spPr>
          <c:marker>
            <c:symbol val="none"/>
          </c:marker>
          <c:dLbls>
            <c:dLbl>
              <c:idx val="58"/>
              <c:layout>
                <c:manualLayout>
                  <c:x val="-6.3897556953224793E-4"/>
                  <c:y val="-6.9562272457878247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19B-4E3C-B898-87E1C0B90F8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Test!$A$3:$A$61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Test!$D$3:$D$61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9B-4E3C-B898-87E1C0B90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2969792"/>
        <c:axId val="2110902608"/>
        <c:extLst/>
      </c:lineChart>
      <c:dateAx>
        <c:axId val="177296979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0902608"/>
        <c:crosses val="autoZero"/>
        <c:auto val="1"/>
        <c:lblOffset val="100"/>
        <c:baseTimeUnit val="days"/>
      </c:dateAx>
      <c:valAx>
        <c:axId val="2110902608"/>
        <c:scaling>
          <c:orientation val="minMax"/>
          <c:max val="1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Température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296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Cumul de température depuis le 1er Janvier (base 4°C)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278426531429334"/>
          <c:y val="0.13078577336641853"/>
          <c:w val="0.8548428533297745"/>
          <c:h val="0.61247780751971759"/>
        </c:manualLayout>
      </c:layout>
      <c:lineChart>
        <c:grouping val="standard"/>
        <c:varyColors val="0"/>
        <c:ser>
          <c:idx val="0"/>
          <c:order val="0"/>
          <c:tx>
            <c:strRef>
              <c:f>Ouest!$K$2</c:f>
              <c:strCache>
                <c:ptCount val="1"/>
                <c:pt idx="0">
                  <c:v>Seuil (143°J)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521186440677967E-2"/>
                  <c:y val="-1.32340777502067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2C1B-489F-8CC0-5F19AAC1BA6A}"/>
                </c:ext>
              </c:extLst>
            </c:dLbl>
            <c:dLbl>
              <c:idx val="58"/>
              <c:layout>
                <c:manualLayout>
                  <c:x val="-4.2372881355932203E-3"/>
                  <c:y val="-3.308519437551695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2C1B-489F-8CC0-5F19AAC1BA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Ouest!$J$3:$J$61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Ouest!$K$3:$K$61</c:f>
              <c:numCache>
                <c:formatCode>General</c:formatCode>
                <c:ptCount val="59"/>
                <c:pt idx="0">
                  <c:v>143</c:v>
                </c:pt>
                <c:pt idx="1">
                  <c:v>143</c:v>
                </c:pt>
                <c:pt idx="2">
                  <c:v>143</c:v>
                </c:pt>
                <c:pt idx="3">
                  <c:v>143</c:v>
                </c:pt>
                <c:pt idx="4">
                  <c:v>143</c:v>
                </c:pt>
                <c:pt idx="5">
                  <c:v>143</c:v>
                </c:pt>
                <c:pt idx="6">
                  <c:v>143</c:v>
                </c:pt>
                <c:pt idx="7">
                  <c:v>143</c:v>
                </c:pt>
                <c:pt idx="8">
                  <c:v>143</c:v>
                </c:pt>
                <c:pt idx="9">
                  <c:v>143</c:v>
                </c:pt>
                <c:pt idx="10">
                  <c:v>143</c:v>
                </c:pt>
                <c:pt idx="11">
                  <c:v>143</c:v>
                </c:pt>
                <c:pt idx="12">
                  <c:v>143</c:v>
                </c:pt>
                <c:pt idx="13">
                  <c:v>143</c:v>
                </c:pt>
                <c:pt idx="14">
                  <c:v>143</c:v>
                </c:pt>
                <c:pt idx="15">
                  <c:v>143</c:v>
                </c:pt>
                <c:pt idx="16">
                  <c:v>143</c:v>
                </c:pt>
                <c:pt idx="17">
                  <c:v>143</c:v>
                </c:pt>
                <c:pt idx="18">
                  <c:v>143</c:v>
                </c:pt>
                <c:pt idx="19">
                  <c:v>143</c:v>
                </c:pt>
                <c:pt idx="20">
                  <c:v>143</c:v>
                </c:pt>
                <c:pt idx="21">
                  <c:v>143</c:v>
                </c:pt>
                <c:pt idx="22">
                  <c:v>143</c:v>
                </c:pt>
                <c:pt idx="23">
                  <c:v>143</c:v>
                </c:pt>
                <c:pt idx="24">
                  <c:v>143</c:v>
                </c:pt>
                <c:pt idx="25">
                  <c:v>143</c:v>
                </c:pt>
                <c:pt idx="26">
                  <c:v>143</c:v>
                </c:pt>
                <c:pt idx="27">
                  <c:v>143</c:v>
                </c:pt>
                <c:pt idx="28">
                  <c:v>143</c:v>
                </c:pt>
                <c:pt idx="29">
                  <c:v>143</c:v>
                </c:pt>
                <c:pt idx="30">
                  <c:v>143</c:v>
                </c:pt>
                <c:pt idx="31">
                  <c:v>143</c:v>
                </c:pt>
                <c:pt idx="32">
                  <c:v>143</c:v>
                </c:pt>
                <c:pt idx="33">
                  <c:v>143</c:v>
                </c:pt>
                <c:pt idx="34">
                  <c:v>143</c:v>
                </c:pt>
                <c:pt idx="35">
                  <c:v>143</c:v>
                </c:pt>
                <c:pt idx="36">
                  <c:v>143</c:v>
                </c:pt>
                <c:pt idx="37">
                  <c:v>143</c:v>
                </c:pt>
                <c:pt idx="38">
                  <c:v>143</c:v>
                </c:pt>
                <c:pt idx="39">
                  <c:v>143</c:v>
                </c:pt>
                <c:pt idx="40">
                  <c:v>143</c:v>
                </c:pt>
                <c:pt idx="41">
                  <c:v>143</c:v>
                </c:pt>
                <c:pt idx="42">
                  <c:v>143</c:v>
                </c:pt>
                <c:pt idx="43">
                  <c:v>143</c:v>
                </c:pt>
                <c:pt idx="44">
                  <c:v>143</c:v>
                </c:pt>
                <c:pt idx="45">
                  <c:v>143</c:v>
                </c:pt>
                <c:pt idx="46">
                  <c:v>143</c:v>
                </c:pt>
                <c:pt idx="47">
                  <c:v>143</c:v>
                </c:pt>
                <c:pt idx="48">
                  <c:v>143</c:v>
                </c:pt>
                <c:pt idx="49">
                  <c:v>143</c:v>
                </c:pt>
                <c:pt idx="50">
                  <c:v>143</c:v>
                </c:pt>
                <c:pt idx="51">
                  <c:v>143</c:v>
                </c:pt>
                <c:pt idx="52">
                  <c:v>143</c:v>
                </c:pt>
                <c:pt idx="53">
                  <c:v>143</c:v>
                </c:pt>
                <c:pt idx="54">
                  <c:v>143</c:v>
                </c:pt>
                <c:pt idx="55">
                  <c:v>143</c:v>
                </c:pt>
                <c:pt idx="56">
                  <c:v>143</c:v>
                </c:pt>
                <c:pt idx="57">
                  <c:v>143</c:v>
                </c:pt>
                <c:pt idx="58">
                  <c:v>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1B-489F-8CC0-5F19AAC1BA6A}"/>
            </c:ext>
          </c:extLst>
        </c:ser>
        <c:ser>
          <c:idx val="1"/>
          <c:order val="1"/>
          <c:tx>
            <c:strRef>
              <c:f>Ouest!$L$2</c:f>
              <c:strCache>
                <c:ptCount val="1"/>
                <c:pt idx="0">
                  <c:v>#NOM?</c:v>
                </c:pt>
              </c:strCache>
            </c:strRef>
          </c:tx>
          <c:marker>
            <c:symbol val="none"/>
          </c:marker>
          <c:cat>
            <c:numRef>
              <c:f>Ouest!$J$3:$J$61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Ouest!$L$3:$L$61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2C1B-489F-8CC0-5F19AAC1BA6A}"/>
            </c:ext>
          </c:extLst>
        </c:ser>
        <c:ser>
          <c:idx val="2"/>
          <c:order val="2"/>
          <c:tx>
            <c:strRef>
              <c:f>Ouest!$M$2</c:f>
              <c:strCache>
                <c:ptCount val="1"/>
                <c:pt idx="0">
                  <c:v>#NOM?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58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2C1B-489F-8CC0-5F19AAC1BA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96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Ouest!$J$3:$J$61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Ouest!$M$3:$M$61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1B-489F-8CC0-5F19AAC1BA6A}"/>
            </c:ext>
          </c:extLst>
        </c:ser>
        <c:ser>
          <c:idx val="3"/>
          <c:order val="3"/>
          <c:tx>
            <c:strRef>
              <c:f>Ouest!$N$2</c:f>
              <c:strCache>
                <c:ptCount val="1"/>
                <c:pt idx="0">
                  <c:v>#NOM?</c:v>
                </c:pt>
              </c:strCache>
            </c:strRef>
          </c:tx>
          <c:spPr>
            <a:ln w="28575" cap="rnd">
              <a:solidFill>
                <a:srgbClr val="9E480E"/>
              </a:solidFill>
              <a:round/>
            </a:ln>
            <a:effectLst/>
          </c:spPr>
          <c:marker>
            <c:symbol val="none"/>
          </c:marker>
          <c:dLbls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2C1B-489F-8CC0-5F19AAC1BA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9E480E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Ouest!$J$3:$J$61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Ouest!$N$3:$N$61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1B-489F-8CC0-5F19AAC1BA6A}"/>
            </c:ext>
          </c:extLst>
        </c:ser>
        <c:ser>
          <c:idx val="4"/>
          <c:order val="4"/>
          <c:tx>
            <c:strRef>
              <c:f>Ouest!$O$2</c:f>
              <c:strCache>
                <c:ptCount val="1"/>
                <c:pt idx="0">
                  <c:v>#NOM?</c:v>
                </c:pt>
              </c:strCache>
            </c:strRef>
          </c:tx>
          <c:spPr>
            <a:ln w="28575" cap="rnd">
              <a:solidFill>
                <a:srgbClr val="997300"/>
              </a:solidFill>
              <a:round/>
            </a:ln>
            <a:effectLst/>
          </c:spPr>
          <c:marker>
            <c:symbol val="none"/>
          </c:marker>
          <c:dLbls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2C1B-489F-8CC0-5F19AAC1BA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9973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Ouest!$J$3:$J$61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Ouest!$O$3:$O$61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C1B-489F-8CC0-5F19AAC1BA6A}"/>
            </c:ext>
          </c:extLst>
        </c:ser>
        <c:ser>
          <c:idx val="5"/>
          <c:order val="5"/>
          <c:tx>
            <c:strRef>
              <c:f>Ouest!$P$2</c:f>
              <c:strCache>
                <c:ptCount val="1"/>
                <c:pt idx="0">
                  <c:v>#NOM?</c:v>
                </c:pt>
              </c:strCache>
            </c:strRef>
          </c:tx>
          <c:spPr>
            <a:ln w="28575" cap="rnd">
              <a:solidFill>
                <a:srgbClr val="43682B"/>
              </a:solidFill>
              <a:round/>
            </a:ln>
            <a:effectLst/>
          </c:spPr>
          <c:marker>
            <c:symbol val="none"/>
          </c:marker>
          <c:dLbls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2C1B-489F-8CC0-5F19AAC1BA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43682B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Ouest!$J$3:$J$61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Ouest!$P$3:$P$61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C1B-489F-8CC0-5F19AAC1BA6A}"/>
            </c:ext>
          </c:extLst>
        </c:ser>
        <c:ser>
          <c:idx val="6"/>
          <c:order val="6"/>
          <c:tx>
            <c:strRef>
              <c:f>Ouest!$Q$2</c:f>
              <c:strCache>
                <c:ptCount val="1"/>
                <c:pt idx="0">
                  <c:v>#NOM?</c:v>
                </c:pt>
              </c:strCache>
            </c:strRef>
          </c:tx>
          <c:spPr>
            <a:ln w="28575" cap="rnd">
              <a:solidFill>
                <a:srgbClr val="F1975A"/>
              </a:solidFill>
              <a:round/>
            </a:ln>
            <a:effectLst/>
          </c:spPr>
          <c:marker>
            <c:symbol val="none"/>
          </c:marker>
          <c:dLbls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2C1B-489F-8CC0-5F19AAC1BA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1975A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Ouest!$J$3:$J$61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Ouest!$Q$3:$Q$61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C1B-489F-8CC0-5F19AAC1BA6A}"/>
            </c:ext>
          </c:extLst>
        </c:ser>
        <c:ser>
          <c:idx val="7"/>
          <c:order val="7"/>
          <c:tx>
            <c:strRef>
              <c:f>Ouest!$R$2</c:f>
              <c:strCache>
                <c:ptCount val="1"/>
                <c:pt idx="0">
                  <c:v>#NOM?</c:v>
                </c:pt>
              </c:strCache>
            </c:strRef>
          </c:tx>
          <c:spPr>
            <a:ln w="28575" cap="rnd">
              <a:solidFill>
                <a:srgbClr val="FFCD33"/>
              </a:solidFill>
              <a:round/>
            </a:ln>
            <a:effectLst/>
          </c:spPr>
          <c:marker>
            <c:symbol val="none"/>
          </c:marker>
          <c:dLbls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2C1B-489F-8CC0-5F19AAC1BA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CD33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Ouest!$J$3:$J$61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Ouest!$R$3:$R$61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C1B-489F-8CC0-5F19AAC1BA6A}"/>
            </c:ext>
          </c:extLst>
        </c:ser>
        <c:ser>
          <c:idx val="8"/>
          <c:order val="8"/>
          <c:tx>
            <c:strRef>
              <c:f>Ouest!$S$2</c:f>
              <c:strCache>
                <c:ptCount val="1"/>
                <c:pt idx="0">
                  <c:v>#NOM?</c:v>
                </c:pt>
              </c:strCache>
            </c:strRef>
          </c:tx>
          <c:marker>
            <c:symbol val="none"/>
          </c:marker>
          <c:cat>
            <c:numRef>
              <c:f>Ouest!$J$3:$J$61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Ouest!$S$3:$S$61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B0-4C50-B73C-E9BFD025B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2969792"/>
        <c:axId val="2110902608"/>
        <c:extLst/>
      </c:lineChart>
      <c:dateAx>
        <c:axId val="177296979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0902608"/>
        <c:crosses val="autoZero"/>
        <c:auto val="1"/>
        <c:lblOffset val="100"/>
        <c:baseTimeUnit val="days"/>
      </c:dateAx>
      <c:valAx>
        <c:axId val="2110902608"/>
        <c:scaling>
          <c:orientation val="minMax"/>
          <c:max val="1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Température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296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Cumul de température depuis le 1er Janvier (base 4°C)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278426531429334"/>
          <c:y val="0.13078577336641853"/>
          <c:w val="0.8548428533297745"/>
          <c:h val="0.61247780751971759"/>
        </c:manualLayout>
      </c:layout>
      <c:lineChart>
        <c:grouping val="standard"/>
        <c:varyColors val="0"/>
        <c:ser>
          <c:idx val="0"/>
          <c:order val="0"/>
          <c:tx>
            <c:strRef>
              <c:f>Est!$K$2</c:f>
              <c:strCache>
                <c:ptCount val="1"/>
                <c:pt idx="0">
                  <c:v>Seuil (143°J)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521186440677967E-2"/>
                  <c:y val="-1.32340777502067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156-4448-862B-7DD25BFDA73C}"/>
                </c:ext>
              </c:extLst>
            </c:dLbl>
            <c:dLbl>
              <c:idx val="58"/>
              <c:layout>
                <c:manualLayout>
                  <c:x val="-4.2372881355932203E-3"/>
                  <c:y val="-3.308519437551695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156-4448-862B-7DD25BFDA7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Est!$K$3:$K$61</c:f>
              <c:numCache>
                <c:formatCode>General</c:formatCode>
                <c:ptCount val="59"/>
                <c:pt idx="0">
                  <c:v>143</c:v>
                </c:pt>
                <c:pt idx="1">
                  <c:v>143</c:v>
                </c:pt>
                <c:pt idx="2">
                  <c:v>143</c:v>
                </c:pt>
                <c:pt idx="3">
                  <c:v>143</c:v>
                </c:pt>
                <c:pt idx="4">
                  <c:v>143</c:v>
                </c:pt>
                <c:pt idx="5">
                  <c:v>143</c:v>
                </c:pt>
                <c:pt idx="6">
                  <c:v>143</c:v>
                </c:pt>
                <c:pt idx="7">
                  <c:v>143</c:v>
                </c:pt>
                <c:pt idx="8">
                  <c:v>143</c:v>
                </c:pt>
                <c:pt idx="9">
                  <c:v>143</c:v>
                </c:pt>
                <c:pt idx="10">
                  <c:v>143</c:v>
                </c:pt>
                <c:pt idx="11">
                  <c:v>143</c:v>
                </c:pt>
                <c:pt idx="12">
                  <c:v>143</c:v>
                </c:pt>
                <c:pt idx="13">
                  <c:v>143</c:v>
                </c:pt>
                <c:pt idx="14">
                  <c:v>143</c:v>
                </c:pt>
                <c:pt idx="15">
                  <c:v>143</c:v>
                </c:pt>
                <c:pt idx="16">
                  <c:v>143</c:v>
                </c:pt>
                <c:pt idx="17">
                  <c:v>143</c:v>
                </c:pt>
                <c:pt idx="18">
                  <c:v>143</c:v>
                </c:pt>
                <c:pt idx="19">
                  <c:v>143</c:v>
                </c:pt>
                <c:pt idx="20">
                  <c:v>143</c:v>
                </c:pt>
                <c:pt idx="21">
                  <c:v>143</c:v>
                </c:pt>
                <c:pt idx="22">
                  <c:v>143</c:v>
                </c:pt>
                <c:pt idx="23">
                  <c:v>143</c:v>
                </c:pt>
                <c:pt idx="24">
                  <c:v>143</c:v>
                </c:pt>
                <c:pt idx="25">
                  <c:v>143</c:v>
                </c:pt>
                <c:pt idx="26">
                  <c:v>143</c:v>
                </c:pt>
                <c:pt idx="27">
                  <c:v>143</c:v>
                </c:pt>
                <c:pt idx="28">
                  <c:v>143</c:v>
                </c:pt>
                <c:pt idx="29">
                  <c:v>143</c:v>
                </c:pt>
                <c:pt idx="30">
                  <c:v>143</c:v>
                </c:pt>
                <c:pt idx="31">
                  <c:v>143</c:v>
                </c:pt>
                <c:pt idx="32">
                  <c:v>143</c:v>
                </c:pt>
                <c:pt idx="33">
                  <c:v>143</c:v>
                </c:pt>
                <c:pt idx="34">
                  <c:v>143</c:v>
                </c:pt>
                <c:pt idx="35">
                  <c:v>143</c:v>
                </c:pt>
                <c:pt idx="36">
                  <c:v>143</c:v>
                </c:pt>
                <c:pt idx="37">
                  <c:v>143</c:v>
                </c:pt>
                <c:pt idx="38">
                  <c:v>143</c:v>
                </c:pt>
                <c:pt idx="39">
                  <c:v>143</c:v>
                </c:pt>
                <c:pt idx="40">
                  <c:v>143</c:v>
                </c:pt>
                <c:pt idx="41">
                  <c:v>143</c:v>
                </c:pt>
                <c:pt idx="42">
                  <c:v>143</c:v>
                </c:pt>
                <c:pt idx="43">
                  <c:v>143</c:v>
                </c:pt>
                <c:pt idx="44">
                  <c:v>143</c:v>
                </c:pt>
                <c:pt idx="45">
                  <c:v>143</c:v>
                </c:pt>
                <c:pt idx="46">
                  <c:v>143</c:v>
                </c:pt>
                <c:pt idx="47">
                  <c:v>143</c:v>
                </c:pt>
                <c:pt idx="48">
                  <c:v>143</c:v>
                </c:pt>
                <c:pt idx="49">
                  <c:v>143</c:v>
                </c:pt>
                <c:pt idx="50">
                  <c:v>143</c:v>
                </c:pt>
                <c:pt idx="51">
                  <c:v>143</c:v>
                </c:pt>
                <c:pt idx="52">
                  <c:v>143</c:v>
                </c:pt>
                <c:pt idx="53">
                  <c:v>143</c:v>
                </c:pt>
                <c:pt idx="54">
                  <c:v>143</c:v>
                </c:pt>
                <c:pt idx="55">
                  <c:v>143</c:v>
                </c:pt>
                <c:pt idx="56">
                  <c:v>143</c:v>
                </c:pt>
                <c:pt idx="57">
                  <c:v>143</c:v>
                </c:pt>
                <c:pt idx="58">
                  <c:v>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56-4448-862B-7DD25BFDA73C}"/>
            </c:ext>
          </c:extLst>
        </c:ser>
        <c:ser>
          <c:idx val="1"/>
          <c:order val="1"/>
          <c:tx>
            <c:strRef>
              <c:f>Ouest!$L$2</c:f>
              <c:strCache>
                <c:ptCount val="1"/>
                <c:pt idx="0">
                  <c:v>#NOM?</c:v>
                </c:pt>
              </c:strCache>
            </c:strRef>
          </c:tx>
          <c:marker>
            <c:symbol val="none"/>
          </c:marker>
          <c:cat>
            <c:numRef>
              <c:f>Ouest!$J$3:$J$61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Ouest!$L$3:$L$61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7156-4448-862B-7DD25BFDA73C}"/>
            </c:ext>
          </c:extLst>
        </c:ser>
        <c:ser>
          <c:idx val="9"/>
          <c:order val="2"/>
          <c:tx>
            <c:strRef>
              <c:f>Est!$L$2</c:f>
              <c:strCache>
                <c:ptCount val="1"/>
                <c:pt idx="0">
                  <c:v>#NOM?</c:v>
                </c:pt>
              </c:strCache>
            </c:strRef>
          </c:tx>
          <c:marker>
            <c:symbol val="none"/>
          </c:marker>
          <c:dLbls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156-4448-862B-7DD25BFDA7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rgbClr val="F1975A"/>
                    </a:solidFill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Est!$L$3:$L$61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156-4448-862B-7DD25BFDA73C}"/>
            </c:ext>
          </c:extLst>
        </c:ser>
        <c:ser>
          <c:idx val="2"/>
          <c:order val="3"/>
          <c:tx>
            <c:strRef>
              <c:f>Est!$M$2</c:f>
              <c:strCache>
                <c:ptCount val="1"/>
                <c:pt idx="0">
                  <c:v>#NOM?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58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156-4448-862B-7DD25BFDA7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96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Est!$M$3:$M$61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156-4448-862B-7DD25BFDA73C}"/>
            </c:ext>
          </c:extLst>
        </c:ser>
        <c:ser>
          <c:idx val="3"/>
          <c:order val="4"/>
          <c:tx>
            <c:strRef>
              <c:f>Est!$N$2</c:f>
              <c:strCache>
                <c:ptCount val="1"/>
                <c:pt idx="0">
                  <c:v>#NOM?</c:v>
                </c:pt>
              </c:strCache>
            </c:strRef>
          </c:tx>
          <c:spPr>
            <a:ln w="28575" cap="rnd">
              <a:solidFill>
                <a:srgbClr val="9E480E"/>
              </a:solidFill>
              <a:round/>
            </a:ln>
            <a:effectLst/>
          </c:spPr>
          <c:marker>
            <c:symbol val="none"/>
          </c:marker>
          <c:dLbls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156-4448-862B-7DD25BFDA7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9E480E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Est!$N$3:$N$61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156-4448-862B-7DD25BFDA73C}"/>
            </c:ext>
          </c:extLst>
        </c:ser>
        <c:ser>
          <c:idx val="4"/>
          <c:order val="5"/>
          <c:tx>
            <c:strRef>
              <c:f>Est!$O$2</c:f>
              <c:strCache>
                <c:ptCount val="1"/>
                <c:pt idx="0">
                  <c:v>#NOM?</c:v>
                </c:pt>
              </c:strCache>
            </c:strRef>
          </c:tx>
          <c:spPr>
            <a:ln w="28575" cap="rnd">
              <a:solidFill>
                <a:srgbClr val="997300"/>
              </a:solidFill>
              <a:round/>
            </a:ln>
            <a:effectLst/>
          </c:spPr>
          <c:marker>
            <c:symbol val="none"/>
          </c:marker>
          <c:dLbls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156-4448-862B-7DD25BFDA7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9973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Est!$O$3:$O$61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156-4448-862B-7DD25BFDA73C}"/>
            </c:ext>
          </c:extLst>
        </c:ser>
        <c:ser>
          <c:idx val="5"/>
          <c:order val="6"/>
          <c:tx>
            <c:strRef>
              <c:f>Est!$P$2</c:f>
              <c:strCache>
                <c:ptCount val="1"/>
                <c:pt idx="0">
                  <c:v>#NOM?</c:v>
                </c:pt>
              </c:strCache>
            </c:strRef>
          </c:tx>
          <c:spPr>
            <a:ln w="28575" cap="rnd">
              <a:solidFill>
                <a:srgbClr val="43682B"/>
              </a:solidFill>
              <a:round/>
            </a:ln>
            <a:effectLst/>
          </c:spPr>
          <c:marker>
            <c:symbol val="none"/>
          </c:marker>
          <c:dLbls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156-4448-862B-7DD25BFDA7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43682B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Est!$P$3:$P$61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156-4448-862B-7DD25BFDA73C}"/>
            </c:ext>
          </c:extLst>
        </c:ser>
        <c:ser>
          <c:idx val="7"/>
          <c:order val="7"/>
          <c:tx>
            <c:strRef>
              <c:f>Est!$R$2</c:f>
              <c:strCache>
                <c:ptCount val="1"/>
                <c:pt idx="0">
                  <c:v>#NOM?</c:v>
                </c:pt>
              </c:strCache>
            </c:strRef>
          </c:tx>
          <c:spPr>
            <a:ln w="28575" cap="rnd">
              <a:solidFill>
                <a:srgbClr val="FFCD33"/>
              </a:solidFill>
              <a:round/>
            </a:ln>
            <a:effectLst/>
          </c:spPr>
          <c:marker>
            <c:symbol val="none"/>
          </c:marker>
          <c:dLbls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156-4448-862B-7DD25BFDA7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CD33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Est!$R$3:$R$61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156-4448-862B-7DD25BFDA73C}"/>
            </c:ext>
          </c:extLst>
        </c:ser>
        <c:ser>
          <c:idx val="6"/>
          <c:order val="8"/>
          <c:tx>
            <c:strRef>
              <c:f>Est!$Q$2</c:f>
              <c:strCache>
                <c:ptCount val="1"/>
                <c:pt idx="0">
                  <c:v>#NOM?</c:v>
                </c:pt>
              </c:strCache>
            </c:strRef>
          </c:tx>
          <c:spPr>
            <a:ln w="28575" cap="rnd">
              <a:solidFill>
                <a:srgbClr val="F1975A"/>
              </a:solidFill>
              <a:round/>
            </a:ln>
            <a:effectLst/>
          </c:spPr>
          <c:marker>
            <c:symbol val="none"/>
          </c:marker>
          <c:dLbls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156-4448-862B-7DD25BFDA7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1975A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Est!$Q$3:$Q$61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156-4448-862B-7DD25BFDA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2969792"/>
        <c:axId val="2110902608"/>
        <c:extLst>
          <c:ext xmlns:c15="http://schemas.microsoft.com/office/drawing/2012/chart" uri="{02D57815-91ED-43cb-92C2-25804820EDAC}">
            <c15:filteredLineSeries>
              <c15:ser>
                <c:idx val="8"/>
                <c:order val="9"/>
                <c:tx>
                  <c:strRef>
                    <c:extLst>
                      <c:ext uri="{02D57815-91ED-43cb-92C2-25804820EDAC}">
                        <c15:formulaRef>
                          <c15:sqref>Est!$S$2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Est!$J$3:$J$61</c15:sqref>
                        </c15:formulaRef>
                      </c:ext>
                    </c:extLst>
                    <c:numCache>
                      <c:formatCode>d\-mmm</c:formatCode>
                      <c:ptCount val="5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  <c:pt idx="29">
                        <c:v>46052</c:v>
                      </c:pt>
                      <c:pt idx="30">
                        <c:v>46053</c:v>
                      </c:pt>
                      <c:pt idx="31">
                        <c:v>46054</c:v>
                      </c:pt>
                      <c:pt idx="32">
                        <c:v>46055</c:v>
                      </c:pt>
                      <c:pt idx="33">
                        <c:v>46056</c:v>
                      </c:pt>
                      <c:pt idx="34">
                        <c:v>46057</c:v>
                      </c:pt>
                      <c:pt idx="35">
                        <c:v>46058</c:v>
                      </c:pt>
                      <c:pt idx="36">
                        <c:v>46059</c:v>
                      </c:pt>
                      <c:pt idx="37">
                        <c:v>46060</c:v>
                      </c:pt>
                      <c:pt idx="38">
                        <c:v>46061</c:v>
                      </c:pt>
                      <c:pt idx="39">
                        <c:v>46062</c:v>
                      </c:pt>
                      <c:pt idx="40">
                        <c:v>46063</c:v>
                      </c:pt>
                      <c:pt idx="41">
                        <c:v>46064</c:v>
                      </c:pt>
                      <c:pt idx="42">
                        <c:v>46065</c:v>
                      </c:pt>
                      <c:pt idx="43">
                        <c:v>46066</c:v>
                      </c:pt>
                      <c:pt idx="44">
                        <c:v>46067</c:v>
                      </c:pt>
                      <c:pt idx="45">
                        <c:v>46068</c:v>
                      </c:pt>
                      <c:pt idx="46">
                        <c:v>46069</c:v>
                      </c:pt>
                      <c:pt idx="47">
                        <c:v>46070</c:v>
                      </c:pt>
                      <c:pt idx="48">
                        <c:v>46071</c:v>
                      </c:pt>
                      <c:pt idx="49">
                        <c:v>46072</c:v>
                      </c:pt>
                      <c:pt idx="50">
                        <c:v>46073</c:v>
                      </c:pt>
                      <c:pt idx="51">
                        <c:v>46074</c:v>
                      </c:pt>
                      <c:pt idx="52">
                        <c:v>46075</c:v>
                      </c:pt>
                      <c:pt idx="53">
                        <c:v>46076</c:v>
                      </c:pt>
                      <c:pt idx="54">
                        <c:v>46077</c:v>
                      </c:pt>
                      <c:pt idx="55">
                        <c:v>46078</c:v>
                      </c:pt>
                      <c:pt idx="56">
                        <c:v>46079</c:v>
                      </c:pt>
                      <c:pt idx="57">
                        <c:v>46080</c:v>
                      </c:pt>
                      <c:pt idx="58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Est!$S$3:$S$61</c15:sqref>
                        </c15:formulaRef>
                      </c:ext>
                    </c:extLst>
                    <c:numCache>
                      <c:formatCode>General</c:formatCode>
                      <c:ptCount val="59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0-7156-4448-862B-7DD25BFDA73C}"/>
                  </c:ext>
                </c:extLst>
              </c15:ser>
            </c15:filteredLineSeries>
          </c:ext>
        </c:extLst>
      </c:lineChart>
      <c:dateAx>
        <c:axId val="177296979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0902608"/>
        <c:crosses val="autoZero"/>
        <c:auto val="1"/>
        <c:lblOffset val="100"/>
        <c:baseTimeUnit val="days"/>
      </c:dateAx>
      <c:valAx>
        <c:axId val="2110902608"/>
        <c:scaling>
          <c:orientation val="minMax"/>
          <c:max val="1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Température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296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Cumul de température depuis le 1er Janvier (base 4°C)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278426531429334"/>
          <c:y val="0.13078577336641853"/>
          <c:w val="0.8548428533297745"/>
          <c:h val="0.61247780751971759"/>
        </c:manualLayout>
      </c:layout>
      <c:lineChart>
        <c:grouping val="standard"/>
        <c:varyColors val="0"/>
        <c:ser>
          <c:idx val="0"/>
          <c:order val="0"/>
          <c:tx>
            <c:strRef>
              <c:f>Nord!$K$2</c:f>
              <c:strCache>
                <c:ptCount val="1"/>
                <c:pt idx="0">
                  <c:v>Seuil (143°J)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521186440677967E-2"/>
                  <c:y val="-1.32340777502067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901-45BF-8371-516CCF0B8C63}"/>
                </c:ext>
              </c:extLst>
            </c:dLbl>
            <c:dLbl>
              <c:idx val="58"/>
              <c:layout>
                <c:manualLayout>
                  <c:x val="-4.2372881355932203E-3"/>
                  <c:y val="-3.308519437551695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901-45BF-8371-516CCF0B8C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Nord!$J$3:$J$61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Nord!$K$3:$K$92</c:f>
              <c:numCache>
                <c:formatCode>General</c:formatCode>
                <c:ptCount val="90"/>
                <c:pt idx="0">
                  <c:v>143</c:v>
                </c:pt>
                <c:pt idx="1">
                  <c:v>143</c:v>
                </c:pt>
                <c:pt idx="2">
                  <c:v>143</c:v>
                </c:pt>
                <c:pt idx="3">
                  <c:v>143</c:v>
                </c:pt>
                <c:pt idx="4">
                  <c:v>143</c:v>
                </c:pt>
                <c:pt idx="5">
                  <c:v>143</c:v>
                </c:pt>
                <c:pt idx="6">
                  <c:v>143</c:v>
                </c:pt>
                <c:pt idx="7">
                  <c:v>143</c:v>
                </c:pt>
                <c:pt idx="8">
                  <c:v>143</c:v>
                </c:pt>
                <c:pt idx="9">
                  <c:v>143</c:v>
                </c:pt>
                <c:pt idx="10">
                  <c:v>143</c:v>
                </c:pt>
                <c:pt idx="11">
                  <c:v>143</c:v>
                </c:pt>
                <c:pt idx="12">
                  <c:v>143</c:v>
                </c:pt>
                <c:pt idx="13">
                  <c:v>143</c:v>
                </c:pt>
                <c:pt idx="14">
                  <c:v>143</c:v>
                </c:pt>
                <c:pt idx="15">
                  <c:v>143</c:v>
                </c:pt>
                <c:pt idx="16">
                  <c:v>143</c:v>
                </c:pt>
                <c:pt idx="17">
                  <c:v>143</c:v>
                </c:pt>
                <c:pt idx="18">
                  <c:v>143</c:v>
                </c:pt>
                <c:pt idx="19">
                  <c:v>143</c:v>
                </c:pt>
                <c:pt idx="20">
                  <c:v>143</c:v>
                </c:pt>
                <c:pt idx="21">
                  <c:v>143</c:v>
                </c:pt>
                <c:pt idx="22">
                  <c:v>143</c:v>
                </c:pt>
                <c:pt idx="23">
                  <c:v>143</c:v>
                </c:pt>
                <c:pt idx="24">
                  <c:v>143</c:v>
                </c:pt>
                <c:pt idx="25">
                  <c:v>143</c:v>
                </c:pt>
                <c:pt idx="26">
                  <c:v>143</c:v>
                </c:pt>
                <c:pt idx="27">
                  <c:v>143</c:v>
                </c:pt>
                <c:pt idx="28">
                  <c:v>143</c:v>
                </c:pt>
                <c:pt idx="29">
                  <c:v>143</c:v>
                </c:pt>
                <c:pt idx="30">
                  <c:v>143</c:v>
                </c:pt>
                <c:pt idx="31">
                  <c:v>143</c:v>
                </c:pt>
                <c:pt idx="32">
                  <c:v>143</c:v>
                </c:pt>
                <c:pt idx="33">
                  <c:v>143</c:v>
                </c:pt>
                <c:pt idx="34">
                  <c:v>143</c:v>
                </c:pt>
                <c:pt idx="35">
                  <c:v>143</c:v>
                </c:pt>
                <c:pt idx="36">
                  <c:v>143</c:v>
                </c:pt>
                <c:pt idx="37">
                  <c:v>143</c:v>
                </c:pt>
                <c:pt idx="38">
                  <c:v>143</c:v>
                </c:pt>
                <c:pt idx="39">
                  <c:v>143</c:v>
                </c:pt>
                <c:pt idx="40">
                  <c:v>143</c:v>
                </c:pt>
                <c:pt idx="41">
                  <c:v>143</c:v>
                </c:pt>
                <c:pt idx="42">
                  <c:v>143</c:v>
                </c:pt>
                <c:pt idx="43">
                  <c:v>143</c:v>
                </c:pt>
                <c:pt idx="44">
                  <c:v>143</c:v>
                </c:pt>
                <c:pt idx="45">
                  <c:v>143</c:v>
                </c:pt>
                <c:pt idx="46">
                  <c:v>143</c:v>
                </c:pt>
                <c:pt idx="47">
                  <c:v>143</c:v>
                </c:pt>
                <c:pt idx="48">
                  <c:v>143</c:v>
                </c:pt>
                <c:pt idx="49">
                  <c:v>143</c:v>
                </c:pt>
                <c:pt idx="50">
                  <c:v>143</c:v>
                </c:pt>
                <c:pt idx="51">
                  <c:v>143</c:v>
                </c:pt>
                <c:pt idx="52">
                  <c:v>143</c:v>
                </c:pt>
                <c:pt idx="53">
                  <c:v>143</c:v>
                </c:pt>
                <c:pt idx="54">
                  <c:v>143</c:v>
                </c:pt>
                <c:pt idx="55">
                  <c:v>143</c:v>
                </c:pt>
                <c:pt idx="56">
                  <c:v>143</c:v>
                </c:pt>
                <c:pt idx="57">
                  <c:v>143</c:v>
                </c:pt>
                <c:pt idx="58">
                  <c:v>143</c:v>
                </c:pt>
                <c:pt idx="59">
                  <c:v>143</c:v>
                </c:pt>
                <c:pt idx="60">
                  <c:v>143</c:v>
                </c:pt>
                <c:pt idx="61">
                  <c:v>143</c:v>
                </c:pt>
                <c:pt idx="62">
                  <c:v>143</c:v>
                </c:pt>
                <c:pt idx="63">
                  <c:v>143</c:v>
                </c:pt>
                <c:pt idx="64">
                  <c:v>143</c:v>
                </c:pt>
                <c:pt idx="65">
                  <c:v>143</c:v>
                </c:pt>
                <c:pt idx="66">
                  <c:v>143</c:v>
                </c:pt>
                <c:pt idx="67">
                  <c:v>143</c:v>
                </c:pt>
                <c:pt idx="68">
                  <c:v>143</c:v>
                </c:pt>
                <c:pt idx="69">
                  <c:v>143</c:v>
                </c:pt>
                <c:pt idx="70">
                  <c:v>143</c:v>
                </c:pt>
                <c:pt idx="71">
                  <c:v>143</c:v>
                </c:pt>
                <c:pt idx="72">
                  <c:v>143</c:v>
                </c:pt>
                <c:pt idx="73">
                  <c:v>143</c:v>
                </c:pt>
                <c:pt idx="74">
                  <c:v>143</c:v>
                </c:pt>
                <c:pt idx="75">
                  <c:v>143</c:v>
                </c:pt>
                <c:pt idx="76">
                  <c:v>143</c:v>
                </c:pt>
                <c:pt idx="77">
                  <c:v>143</c:v>
                </c:pt>
                <c:pt idx="78">
                  <c:v>143</c:v>
                </c:pt>
                <c:pt idx="79">
                  <c:v>143</c:v>
                </c:pt>
                <c:pt idx="80">
                  <c:v>143</c:v>
                </c:pt>
                <c:pt idx="81">
                  <c:v>143</c:v>
                </c:pt>
                <c:pt idx="82">
                  <c:v>143</c:v>
                </c:pt>
                <c:pt idx="83">
                  <c:v>143</c:v>
                </c:pt>
                <c:pt idx="84">
                  <c:v>143</c:v>
                </c:pt>
                <c:pt idx="85">
                  <c:v>143</c:v>
                </c:pt>
                <c:pt idx="86">
                  <c:v>143</c:v>
                </c:pt>
                <c:pt idx="87">
                  <c:v>143</c:v>
                </c:pt>
                <c:pt idx="88">
                  <c:v>143</c:v>
                </c:pt>
                <c:pt idx="89">
                  <c:v>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01-45BF-8371-516CCF0B8C63}"/>
            </c:ext>
          </c:extLst>
        </c:ser>
        <c:ser>
          <c:idx val="1"/>
          <c:order val="1"/>
          <c:tx>
            <c:strRef>
              <c:f>Nord!$L$2</c:f>
              <c:strCache>
                <c:ptCount val="1"/>
                <c:pt idx="0">
                  <c:v>#NOM?</c:v>
                </c:pt>
              </c:strCache>
            </c:strRef>
          </c:tx>
          <c:marker>
            <c:symbol val="none"/>
          </c:marker>
          <c:dLbls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901-45BF-8371-516CCF0B8C63}"/>
                </c:ext>
              </c:extLst>
            </c:dLbl>
            <c:dLbl>
              <c:idx val="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901-45BF-8371-516CCF0B8C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rgbClr val="F1975A"/>
                    </a:solidFill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Nord!$J$3:$J$61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Nord!$L$3:$L$92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2901-45BF-8371-516CCF0B8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2969792"/>
        <c:axId val="2110902608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58"/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2901-45BF-8371-516CCF0B8C63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96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ln>
                            <a:noFill/>
                          </a:ln>
                          <a:solidFill>
                            <a:schemeClr val="accent6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r"/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pPr xmlns:c15="http://schemas.microsoft.com/office/drawing/2012/chart">
                        <a:prstGeom prst="rect">
                          <a:avLst/>
                        </a:prstGeom>
                      </c15:spPr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Nord!$J$3:$J$61</c15:sqref>
                        </c15:formulaRef>
                      </c:ext>
                    </c:extLst>
                    <c:numCache>
                      <c:formatCode>d\-mmm</c:formatCode>
                      <c:ptCount val="5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  <c:pt idx="29">
                        <c:v>46052</c:v>
                      </c:pt>
                      <c:pt idx="30">
                        <c:v>46053</c:v>
                      </c:pt>
                      <c:pt idx="31">
                        <c:v>46054</c:v>
                      </c:pt>
                      <c:pt idx="32">
                        <c:v>46055</c:v>
                      </c:pt>
                      <c:pt idx="33">
                        <c:v>46056</c:v>
                      </c:pt>
                      <c:pt idx="34">
                        <c:v>46057</c:v>
                      </c:pt>
                      <c:pt idx="35">
                        <c:v>46058</c:v>
                      </c:pt>
                      <c:pt idx="36">
                        <c:v>46059</c:v>
                      </c:pt>
                      <c:pt idx="37">
                        <c:v>46060</c:v>
                      </c:pt>
                      <c:pt idx="38">
                        <c:v>46061</c:v>
                      </c:pt>
                      <c:pt idx="39">
                        <c:v>46062</c:v>
                      </c:pt>
                      <c:pt idx="40">
                        <c:v>46063</c:v>
                      </c:pt>
                      <c:pt idx="41">
                        <c:v>46064</c:v>
                      </c:pt>
                      <c:pt idx="42">
                        <c:v>46065</c:v>
                      </c:pt>
                      <c:pt idx="43">
                        <c:v>46066</c:v>
                      </c:pt>
                      <c:pt idx="44">
                        <c:v>46067</c:v>
                      </c:pt>
                      <c:pt idx="45">
                        <c:v>46068</c:v>
                      </c:pt>
                      <c:pt idx="46">
                        <c:v>46069</c:v>
                      </c:pt>
                      <c:pt idx="47">
                        <c:v>46070</c:v>
                      </c:pt>
                      <c:pt idx="48">
                        <c:v>46071</c:v>
                      </c:pt>
                      <c:pt idx="49">
                        <c:v>46072</c:v>
                      </c:pt>
                      <c:pt idx="50">
                        <c:v>46073</c:v>
                      </c:pt>
                      <c:pt idx="51">
                        <c:v>46074</c:v>
                      </c:pt>
                      <c:pt idx="52">
                        <c:v>46075</c:v>
                      </c:pt>
                      <c:pt idx="53">
                        <c:v>46076</c:v>
                      </c:pt>
                      <c:pt idx="54">
                        <c:v>46077</c:v>
                      </c:pt>
                      <c:pt idx="55">
                        <c:v>46078</c:v>
                      </c:pt>
                      <c:pt idx="56">
                        <c:v>46079</c:v>
                      </c:pt>
                      <c:pt idx="57">
                        <c:v>46080</c:v>
                      </c:pt>
                      <c:pt idx="58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Nord!$M$3:$M$92</c15:sqref>
                        </c15:formulaRef>
                      </c:ext>
                    </c:extLst>
                    <c:numCache>
                      <c:formatCode>General</c:formatCode>
                      <c:ptCount val="90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2901-45BF-8371-516CCF0B8C63}"/>
                  </c:ext>
                </c:extLst>
              </c15:ser>
            </c15:filteredLineSeries>
            <c15:filteredLineSeries>
              <c15:ser>
                <c:idx val="3"/>
                <c:order val="3"/>
                <c:spPr>
                  <a:ln w="28575" cap="rnd">
                    <a:solidFill>
                      <a:srgbClr val="9E480E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58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6-2901-45BF-8371-516CCF0B8C63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rgbClr val="9E480E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Nord!$J$3:$J$61</c15:sqref>
                        </c15:formulaRef>
                      </c:ext>
                    </c:extLst>
                    <c:numCache>
                      <c:formatCode>d\-mmm</c:formatCode>
                      <c:ptCount val="5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  <c:pt idx="29">
                        <c:v>46052</c:v>
                      </c:pt>
                      <c:pt idx="30">
                        <c:v>46053</c:v>
                      </c:pt>
                      <c:pt idx="31">
                        <c:v>46054</c:v>
                      </c:pt>
                      <c:pt idx="32">
                        <c:v>46055</c:v>
                      </c:pt>
                      <c:pt idx="33">
                        <c:v>46056</c:v>
                      </c:pt>
                      <c:pt idx="34">
                        <c:v>46057</c:v>
                      </c:pt>
                      <c:pt idx="35">
                        <c:v>46058</c:v>
                      </c:pt>
                      <c:pt idx="36">
                        <c:v>46059</c:v>
                      </c:pt>
                      <c:pt idx="37">
                        <c:v>46060</c:v>
                      </c:pt>
                      <c:pt idx="38">
                        <c:v>46061</c:v>
                      </c:pt>
                      <c:pt idx="39">
                        <c:v>46062</c:v>
                      </c:pt>
                      <c:pt idx="40">
                        <c:v>46063</c:v>
                      </c:pt>
                      <c:pt idx="41">
                        <c:v>46064</c:v>
                      </c:pt>
                      <c:pt idx="42">
                        <c:v>46065</c:v>
                      </c:pt>
                      <c:pt idx="43">
                        <c:v>46066</c:v>
                      </c:pt>
                      <c:pt idx="44">
                        <c:v>46067</c:v>
                      </c:pt>
                      <c:pt idx="45">
                        <c:v>46068</c:v>
                      </c:pt>
                      <c:pt idx="46">
                        <c:v>46069</c:v>
                      </c:pt>
                      <c:pt idx="47">
                        <c:v>46070</c:v>
                      </c:pt>
                      <c:pt idx="48">
                        <c:v>46071</c:v>
                      </c:pt>
                      <c:pt idx="49">
                        <c:v>46072</c:v>
                      </c:pt>
                      <c:pt idx="50">
                        <c:v>46073</c:v>
                      </c:pt>
                      <c:pt idx="51">
                        <c:v>46074</c:v>
                      </c:pt>
                      <c:pt idx="52">
                        <c:v>46075</c:v>
                      </c:pt>
                      <c:pt idx="53">
                        <c:v>46076</c:v>
                      </c:pt>
                      <c:pt idx="54">
                        <c:v>46077</c:v>
                      </c:pt>
                      <c:pt idx="55">
                        <c:v>46078</c:v>
                      </c:pt>
                      <c:pt idx="56">
                        <c:v>46079</c:v>
                      </c:pt>
                      <c:pt idx="57">
                        <c:v>46080</c:v>
                      </c:pt>
                      <c:pt idx="58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Nord!$N$3:$N$92</c15:sqref>
                        </c15:formulaRef>
                      </c:ext>
                    </c:extLst>
                    <c:numCache>
                      <c:formatCode>General</c:formatCode>
                      <c:ptCount val="90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901-45BF-8371-516CCF0B8C63}"/>
                  </c:ext>
                </c:extLst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rgbClr val="99730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58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8-2901-45BF-8371-516CCF0B8C63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rgbClr val="9973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Nord!$J$3:$J$61</c15:sqref>
                        </c15:formulaRef>
                      </c:ext>
                    </c:extLst>
                    <c:numCache>
                      <c:formatCode>d\-mmm</c:formatCode>
                      <c:ptCount val="5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  <c:pt idx="29">
                        <c:v>46052</c:v>
                      </c:pt>
                      <c:pt idx="30">
                        <c:v>46053</c:v>
                      </c:pt>
                      <c:pt idx="31">
                        <c:v>46054</c:v>
                      </c:pt>
                      <c:pt idx="32">
                        <c:v>46055</c:v>
                      </c:pt>
                      <c:pt idx="33">
                        <c:v>46056</c:v>
                      </c:pt>
                      <c:pt idx="34">
                        <c:v>46057</c:v>
                      </c:pt>
                      <c:pt idx="35">
                        <c:v>46058</c:v>
                      </c:pt>
                      <c:pt idx="36">
                        <c:v>46059</c:v>
                      </c:pt>
                      <c:pt idx="37">
                        <c:v>46060</c:v>
                      </c:pt>
                      <c:pt idx="38">
                        <c:v>46061</c:v>
                      </c:pt>
                      <c:pt idx="39">
                        <c:v>46062</c:v>
                      </c:pt>
                      <c:pt idx="40">
                        <c:v>46063</c:v>
                      </c:pt>
                      <c:pt idx="41">
                        <c:v>46064</c:v>
                      </c:pt>
                      <c:pt idx="42">
                        <c:v>46065</c:v>
                      </c:pt>
                      <c:pt idx="43">
                        <c:v>46066</c:v>
                      </c:pt>
                      <c:pt idx="44">
                        <c:v>46067</c:v>
                      </c:pt>
                      <c:pt idx="45">
                        <c:v>46068</c:v>
                      </c:pt>
                      <c:pt idx="46">
                        <c:v>46069</c:v>
                      </c:pt>
                      <c:pt idx="47">
                        <c:v>46070</c:v>
                      </c:pt>
                      <c:pt idx="48">
                        <c:v>46071</c:v>
                      </c:pt>
                      <c:pt idx="49">
                        <c:v>46072</c:v>
                      </c:pt>
                      <c:pt idx="50">
                        <c:v>46073</c:v>
                      </c:pt>
                      <c:pt idx="51">
                        <c:v>46074</c:v>
                      </c:pt>
                      <c:pt idx="52">
                        <c:v>46075</c:v>
                      </c:pt>
                      <c:pt idx="53">
                        <c:v>46076</c:v>
                      </c:pt>
                      <c:pt idx="54">
                        <c:v>46077</c:v>
                      </c:pt>
                      <c:pt idx="55">
                        <c:v>46078</c:v>
                      </c:pt>
                      <c:pt idx="56">
                        <c:v>46079</c:v>
                      </c:pt>
                      <c:pt idx="57">
                        <c:v>46080</c:v>
                      </c:pt>
                      <c:pt idx="58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Nord!$O$3:$O$92</c15:sqref>
                        </c15:formulaRef>
                      </c:ext>
                    </c:extLst>
                    <c:numCache>
                      <c:formatCode>General</c:formatCode>
                      <c:ptCount val="90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901-45BF-8371-516CCF0B8C63}"/>
                  </c:ext>
                </c:extLst>
              </c15:ser>
            </c15:filteredLineSeries>
            <c15:filteredLineSeries>
              <c15:ser>
                <c:idx val="5"/>
                <c:order val="5"/>
                <c:spPr>
                  <a:ln w="28575" cap="rnd">
                    <a:solidFill>
                      <a:srgbClr val="43682B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58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A-2901-45BF-8371-516CCF0B8C63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rgbClr val="43682B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Nord!$J$3:$J$61</c15:sqref>
                        </c15:formulaRef>
                      </c:ext>
                    </c:extLst>
                    <c:numCache>
                      <c:formatCode>d\-mmm</c:formatCode>
                      <c:ptCount val="5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  <c:pt idx="29">
                        <c:v>46052</c:v>
                      </c:pt>
                      <c:pt idx="30">
                        <c:v>46053</c:v>
                      </c:pt>
                      <c:pt idx="31">
                        <c:v>46054</c:v>
                      </c:pt>
                      <c:pt idx="32">
                        <c:v>46055</c:v>
                      </c:pt>
                      <c:pt idx="33">
                        <c:v>46056</c:v>
                      </c:pt>
                      <c:pt idx="34">
                        <c:v>46057</c:v>
                      </c:pt>
                      <c:pt idx="35">
                        <c:v>46058</c:v>
                      </c:pt>
                      <c:pt idx="36">
                        <c:v>46059</c:v>
                      </c:pt>
                      <c:pt idx="37">
                        <c:v>46060</c:v>
                      </c:pt>
                      <c:pt idx="38">
                        <c:v>46061</c:v>
                      </c:pt>
                      <c:pt idx="39">
                        <c:v>46062</c:v>
                      </c:pt>
                      <c:pt idx="40">
                        <c:v>46063</c:v>
                      </c:pt>
                      <c:pt idx="41">
                        <c:v>46064</c:v>
                      </c:pt>
                      <c:pt idx="42">
                        <c:v>46065</c:v>
                      </c:pt>
                      <c:pt idx="43">
                        <c:v>46066</c:v>
                      </c:pt>
                      <c:pt idx="44">
                        <c:v>46067</c:v>
                      </c:pt>
                      <c:pt idx="45">
                        <c:v>46068</c:v>
                      </c:pt>
                      <c:pt idx="46">
                        <c:v>46069</c:v>
                      </c:pt>
                      <c:pt idx="47">
                        <c:v>46070</c:v>
                      </c:pt>
                      <c:pt idx="48">
                        <c:v>46071</c:v>
                      </c:pt>
                      <c:pt idx="49">
                        <c:v>46072</c:v>
                      </c:pt>
                      <c:pt idx="50">
                        <c:v>46073</c:v>
                      </c:pt>
                      <c:pt idx="51">
                        <c:v>46074</c:v>
                      </c:pt>
                      <c:pt idx="52">
                        <c:v>46075</c:v>
                      </c:pt>
                      <c:pt idx="53">
                        <c:v>46076</c:v>
                      </c:pt>
                      <c:pt idx="54">
                        <c:v>46077</c:v>
                      </c:pt>
                      <c:pt idx="55">
                        <c:v>46078</c:v>
                      </c:pt>
                      <c:pt idx="56">
                        <c:v>46079</c:v>
                      </c:pt>
                      <c:pt idx="57">
                        <c:v>46080</c:v>
                      </c:pt>
                      <c:pt idx="58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Nord!$P$3:$P$92</c15:sqref>
                        </c15:formulaRef>
                      </c:ext>
                    </c:extLst>
                    <c:numCache>
                      <c:formatCode>General</c:formatCode>
                      <c:ptCount val="90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2901-45BF-8371-516CCF0B8C63}"/>
                  </c:ext>
                </c:extLst>
              </c15:ser>
            </c15:filteredLineSeries>
            <c15:filteredLineSeries>
              <c15:ser>
                <c:idx val="6"/>
                <c:order val="6"/>
                <c:spPr>
                  <a:ln w="28575" cap="rnd">
                    <a:solidFill>
                      <a:srgbClr val="F1975A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58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C-2901-45BF-8371-516CCF0B8C63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rgbClr val="F1975A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Nord!$J$3:$J$61</c15:sqref>
                        </c15:formulaRef>
                      </c:ext>
                    </c:extLst>
                    <c:numCache>
                      <c:formatCode>d\-mmm</c:formatCode>
                      <c:ptCount val="5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  <c:pt idx="29">
                        <c:v>46052</c:v>
                      </c:pt>
                      <c:pt idx="30">
                        <c:v>46053</c:v>
                      </c:pt>
                      <c:pt idx="31">
                        <c:v>46054</c:v>
                      </c:pt>
                      <c:pt idx="32">
                        <c:v>46055</c:v>
                      </c:pt>
                      <c:pt idx="33">
                        <c:v>46056</c:v>
                      </c:pt>
                      <c:pt idx="34">
                        <c:v>46057</c:v>
                      </c:pt>
                      <c:pt idx="35">
                        <c:v>46058</c:v>
                      </c:pt>
                      <c:pt idx="36">
                        <c:v>46059</c:v>
                      </c:pt>
                      <c:pt idx="37">
                        <c:v>46060</c:v>
                      </c:pt>
                      <c:pt idx="38">
                        <c:v>46061</c:v>
                      </c:pt>
                      <c:pt idx="39">
                        <c:v>46062</c:v>
                      </c:pt>
                      <c:pt idx="40">
                        <c:v>46063</c:v>
                      </c:pt>
                      <c:pt idx="41">
                        <c:v>46064</c:v>
                      </c:pt>
                      <c:pt idx="42">
                        <c:v>46065</c:v>
                      </c:pt>
                      <c:pt idx="43">
                        <c:v>46066</c:v>
                      </c:pt>
                      <c:pt idx="44">
                        <c:v>46067</c:v>
                      </c:pt>
                      <c:pt idx="45">
                        <c:v>46068</c:v>
                      </c:pt>
                      <c:pt idx="46">
                        <c:v>46069</c:v>
                      </c:pt>
                      <c:pt idx="47">
                        <c:v>46070</c:v>
                      </c:pt>
                      <c:pt idx="48">
                        <c:v>46071</c:v>
                      </c:pt>
                      <c:pt idx="49">
                        <c:v>46072</c:v>
                      </c:pt>
                      <c:pt idx="50">
                        <c:v>46073</c:v>
                      </c:pt>
                      <c:pt idx="51">
                        <c:v>46074</c:v>
                      </c:pt>
                      <c:pt idx="52">
                        <c:v>46075</c:v>
                      </c:pt>
                      <c:pt idx="53">
                        <c:v>46076</c:v>
                      </c:pt>
                      <c:pt idx="54">
                        <c:v>46077</c:v>
                      </c:pt>
                      <c:pt idx="55">
                        <c:v>46078</c:v>
                      </c:pt>
                      <c:pt idx="56">
                        <c:v>46079</c:v>
                      </c:pt>
                      <c:pt idx="57">
                        <c:v>46080</c:v>
                      </c:pt>
                      <c:pt idx="58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Nord!$Q$3:$Q$92</c15:sqref>
                        </c15:formulaRef>
                      </c:ext>
                    </c:extLst>
                    <c:numCache>
                      <c:formatCode>General</c:formatCode>
                      <c:ptCount val="90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2901-45BF-8371-516CCF0B8C63}"/>
                  </c:ext>
                </c:extLst>
              </c15:ser>
            </c15:filteredLineSeries>
            <c15:filteredLineSeries>
              <c15:ser>
                <c:idx val="7"/>
                <c:order val="7"/>
                <c:spPr>
                  <a:ln w="28575" cap="rnd">
                    <a:solidFill>
                      <a:srgbClr val="FFCD3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58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E-2901-45BF-8371-516CCF0B8C63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rgbClr val="FFCD33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Nord!$J$3:$J$61</c15:sqref>
                        </c15:formulaRef>
                      </c:ext>
                    </c:extLst>
                    <c:numCache>
                      <c:formatCode>d\-mmm</c:formatCode>
                      <c:ptCount val="5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  <c:pt idx="29">
                        <c:v>46052</c:v>
                      </c:pt>
                      <c:pt idx="30">
                        <c:v>46053</c:v>
                      </c:pt>
                      <c:pt idx="31">
                        <c:v>46054</c:v>
                      </c:pt>
                      <c:pt idx="32">
                        <c:v>46055</c:v>
                      </c:pt>
                      <c:pt idx="33">
                        <c:v>46056</c:v>
                      </c:pt>
                      <c:pt idx="34">
                        <c:v>46057</c:v>
                      </c:pt>
                      <c:pt idx="35">
                        <c:v>46058</c:v>
                      </c:pt>
                      <c:pt idx="36">
                        <c:v>46059</c:v>
                      </c:pt>
                      <c:pt idx="37">
                        <c:v>46060</c:v>
                      </c:pt>
                      <c:pt idx="38">
                        <c:v>46061</c:v>
                      </c:pt>
                      <c:pt idx="39">
                        <c:v>46062</c:v>
                      </c:pt>
                      <c:pt idx="40">
                        <c:v>46063</c:v>
                      </c:pt>
                      <c:pt idx="41">
                        <c:v>46064</c:v>
                      </c:pt>
                      <c:pt idx="42">
                        <c:v>46065</c:v>
                      </c:pt>
                      <c:pt idx="43">
                        <c:v>46066</c:v>
                      </c:pt>
                      <c:pt idx="44">
                        <c:v>46067</c:v>
                      </c:pt>
                      <c:pt idx="45">
                        <c:v>46068</c:v>
                      </c:pt>
                      <c:pt idx="46">
                        <c:v>46069</c:v>
                      </c:pt>
                      <c:pt idx="47">
                        <c:v>46070</c:v>
                      </c:pt>
                      <c:pt idx="48">
                        <c:v>46071</c:v>
                      </c:pt>
                      <c:pt idx="49">
                        <c:v>46072</c:v>
                      </c:pt>
                      <c:pt idx="50">
                        <c:v>46073</c:v>
                      </c:pt>
                      <c:pt idx="51">
                        <c:v>46074</c:v>
                      </c:pt>
                      <c:pt idx="52">
                        <c:v>46075</c:v>
                      </c:pt>
                      <c:pt idx="53">
                        <c:v>46076</c:v>
                      </c:pt>
                      <c:pt idx="54">
                        <c:v>46077</c:v>
                      </c:pt>
                      <c:pt idx="55">
                        <c:v>46078</c:v>
                      </c:pt>
                      <c:pt idx="56">
                        <c:v>46079</c:v>
                      </c:pt>
                      <c:pt idx="57">
                        <c:v>46080</c:v>
                      </c:pt>
                      <c:pt idx="58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Nord!$R$3:$R$92</c15:sqref>
                        </c15:formulaRef>
                      </c:ext>
                    </c:extLst>
                    <c:numCache>
                      <c:formatCode>General</c:formatCode>
                      <c:ptCount val="90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2901-45BF-8371-516CCF0B8C63}"/>
                  </c:ext>
                </c:extLst>
              </c15:ser>
            </c15:filteredLineSeries>
            <c15:filteredLineSeries>
              <c15:ser>
                <c:idx val="8"/>
                <c:order val="8"/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Nord!$J$3:$J$61</c15:sqref>
                        </c15:formulaRef>
                      </c:ext>
                    </c:extLst>
                    <c:numCache>
                      <c:formatCode>d\-mmm</c:formatCode>
                      <c:ptCount val="5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  <c:pt idx="29">
                        <c:v>46052</c:v>
                      </c:pt>
                      <c:pt idx="30">
                        <c:v>46053</c:v>
                      </c:pt>
                      <c:pt idx="31">
                        <c:v>46054</c:v>
                      </c:pt>
                      <c:pt idx="32">
                        <c:v>46055</c:v>
                      </c:pt>
                      <c:pt idx="33">
                        <c:v>46056</c:v>
                      </c:pt>
                      <c:pt idx="34">
                        <c:v>46057</c:v>
                      </c:pt>
                      <c:pt idx="35">
                        <c:v>46058</c:v>
                      </c:pt>
                      <c:pt idx="36">
                        <c:v>46059</c:v>
                      </c:pt>
                      <c:pt idx="37">
                        <c:v>46060</c:v>
                      </c:pt>
                      <c:pt idx="38">
                        <c:v>46061</c:v>
                      </c:pt>
                      <c:pt idx="39">
                        <c:v>46062</c:v>
                      </c:pt>
                      <c:pt idx="40">
                        <c:v>46063</c:v>
                      </c:pt>
                      <c:pt idx="41">
                        <c:v>46064</c:v>
                      </c:pt>
                      <c:pt idx="42">
                        <c:v>46065</c:v>
                      </c:pt>
                      <c:pt idx="43">
                        <c:v>46066</c:v>
                      </c:pt>
                      <c:pt idx="44">
                        <c:v>46067</c:v>
                      </c:pt>
                      <c:pt idx="45">
                        <c:v>46068</c:v>
                      </c:pt>
                      <c:pt idx="46">
                        <c:v>46069</c:v>
                      </c:pt>
                      <c:pt idx="47">
                        <c:v>46070</c:v>
                      </c:pt>
                      <c:pt idx="48">
                        <c:v>46071</c:v>
                      </c:pt>
                      <c:pt idx="49">
                        <c:v>46072</c:v>
                      </c:pt>
                      <c:pt idx="50">
                        <c:v>46073</c:v>
                      </c:pt>
                      <c:pt idx="51">
                        <c:v>46074</c:v>
                      </c:pt>
                      <c:pt idx="52">
                        <c:v>46075</c:v>
                      </c:pt>
                      <c:pt idx="53">
                        <c:v>46076</c:v>
                      </c:pt>
                      <c:pt idx="54">
                        <c:v>46077</c:v>
                      </c:pt>
                      <c:pt idx="55">
                        <c:v>46078</c:v>
                      </c:pt>
                      <c:pt idx="56">
                        <c:v>46079</c:v>
                      </c:pt>
                      <c:pt idx="57">
                        <c:v>46080</c:v>
                      </c:pt>
                      <c:pt idx="58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Nord!$S$3:$S$92</c15:sqref>
                        </c15:formulaRef>
                      </c:ext>
                    </c:extLst>
                    <c:numCache>
                      <c:formatCode>General</c:formatCode>
                      <c:ptCount val="90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2901-45BF-8371-516CCF0B8C63}"/>
                  </c:ext>
                </c:extLst>
              </c15:ser>
            </c15:filteredLineSeries>
          </c:ext>
        </c:extLst>
      </c:lineChart>
      <c:dateAx>
        <c:axId val="177296979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0902608"/>
        <c:crosses val="autoZero"/>
        <c:auto val="1"/>
        <c:lblOffset val="100"/>
        <c:baseTimeUnit val="days"/>
      </c:dateAx>
      <c:valAx>
        <c:axId val="2110902608"/>
        <c:scaling>
          <c:orientation val="minMax"/>
          <c:max val="1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Température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296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Cumul de température depuis le 1er Janvier (base 4°C)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278426531429334"/>
          <c:y val="0.13078577336641853"/>
          <c:w val="0.8548428533297745"/>
          <c:h val="0.61247780751971759"/>
        </c:manualLayout>
      </c:layout>
      <c:lineChart>
        <c:grouping val="standard"/>
        <c:varyColors val="0"/>
        <c:ser>
          <c:idx val="0"/>
          <c:order val="0"/>
          <c:tx>
            <c:strRef>
              <c:f>Sud!$K$2</c:f>
              <c:strCache>
                <c:ptCount val="1"/>
                <c:pt idx="0">
                  <c:v>Seuil (143°J)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521186440677967E-2"/>
                  <c:y val="-1.32340777502067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626-4AF0-BB8C-2B566E709A2B}"/>
                </c:ext>
              </c:extLst>
            </c:dLbl>
            <c:dLbl>
              <c:idx val="58"/>
              <c:layout>
                <c:manualLayout>
                  <c:x val="-4.2372881355932203E-3"/>
                  <c:y val="-3.308519437551695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626-4AF0-BB8C-2B566E709A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Sud!$J$3:$J$61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Sud!$K$3:$K$61</c:f>
              <c:numCache>
                <c:formatCode>General</c:formatCode>
                <c:ptCount val="59"/>
                <c:pt idx="0">
                  <c:v>143</c:v>
                </c:pt>
                <c:pt idx="1">
                  <c:v>143</c:v>
                </c:pt>
                <c:pt idx="2">
                  <c:v>143</c:v>
                </c:pt>
                <c:pt idx="3">
                  <c:v>143</c:v>
                </c:pt>
                <c:pt idx="4">
                  <c:v>143</c:v>
                </c:pt>
                <c:pt idx="5">
                  <c:v>143</c:v>
                </c:pt>
                <c:pt idx="6">
                  <c:v>143</c:v>
                </c:pt>
                <c:pt idx="7">
                  <c:v>143</c:v>
                </c:pt>
                <c:pt idx="8">
                  <c:v>143</c:v>
                </c:pt>
                <c:pt idx="9">
                  <c:v>143</c:v>
                </c:pt>
                <c:pt idx="10">
                  <c:v>143</c:v>
                </c:pt>
                <c:pt idx="11">
                  <c:v>143</c:v>
                </c:pt>
                <c:pt idx="12">
                  <c:v>143</c:v>
                </c:pt>
                <c:pt idx="13">
                  <c:v>143</c:v>
                </c:pt>
                <c:pt idx="14">
                  <c:v>143</c:v>
                </c:pt>
                <c:pt idx="15">
                  <c:v>143</c:v>
                </c:pt>
                <c:pt idx="16">
                  <c:v>143</c:v>
                </c:pt>
                <c:pt idx="17">
                  <c:v>143</c:v>
                </c:pt>
                <c:pt idx="18">
                  <c:v>143</c:v>
                </c:pt>
                <c:pt idx="19">
                  <c:v>143</c:v>
                </c:pt>
                <c:pt idx="20">
                  <c:v>143</c:v>
                </c:pt>
                <c:pt idx="21">
                  <c:v>143</c:v>
                </c:pt>
                <c:pt idx="22">
                  <c:v>143</c:v>
                </c:pt>
                <c:pt idx="23">
                  <c:v>143</c:v>
                </c:pt>
                <c:pt idx="24">
                  <c:v>143</c:v>
                </c:pt>
                <c:pt idx="25">
                  <c:v>143</c:v>
                </c:pt>
                <c:pt idx="26">
                  <c:v>143</c:v>
                </c:pt>
                <c:pt idx="27">
                  <c:v>143</c:v>
                </c:pt>
                <c:pt idx="28">
                  <c:v>143</c:v>
                </c:pt>
                <c:pt idx="29">
                  <c:v>143</c:v>
                </c:pt>
                <c:pt idx="30">
                  <c:v>143</c:v>
                </c:pt>
                <c:pt idx="31">
                  <c:v>143</c:v>
                </c:pt>
                <c:pt idx="32">
                  <c:v>143</c:v>
                </c:pt>
                <c:pt idx="33">
                  <c:v>143</c:v>
                </c:pt>
                <c:pt idx="34">
                  <c:v>143</c:v>
                </c:pt>
                <c:pt idx="35">
                  <c:v>143</c:v>
                </c:pt>
                <c:pt idx="36">
                  <c:v>143</c:v>
                </c:pt>
                <c:pt idx="37">
                  <c:v>143</c:v>
                </c:pt>
                <c:pt idx="38">
                  <c:v>143</c:v>
                </c:pt>
                <c:pt idx="39">
                  <c:v>143</c:v>
                </c:pt>
                <c:pt idx="40">
                  <c:v>143</c:v>
                </c:pt>
                <c:pt idx="41">
                  <c:v>143</c:v>
                </c:pt>
                <c:pt idx="42">
                  <c:v>143</c:v>
                </c:pt>
                <c:pt idx="43">
                  <c:v>143</c:v>
                </c:pt>
                <c:pt idx="44">
                  <c:v>143</c:v>
                </c:pt>
                <c:pt idx="45">
                  <c:v>143</c:v>
                </c:pt>
                <c:pt idx="46">
                  <c:v>143</c:v>
                </c:pt>
                <c:pt idx="47">
                  <c:v>143</c:v>
                </c:pt>
                <c:pt idx="48">
                  <c:v>143</c:v>
                </c:pt>
                <c:pt idx="49">
                  <c:v>143</c:v>
                </c:pt>
                <c:pt idx="50">
                  <c:v>143</c:v>
                </c:pt>
                <c:pt idx="51">
                  <c:v>143</c:v>
                </c:pt>
                <c:pt idx="52">
                  <c:v>143</c:v>
                </c:pt>
                <c:pt idx="53">
                  <c:v>143</c:v>
                </c:pt>
                <c:pt idx="54">
                  <c:v>143</c:v>
                </c:pt>
                <c:pt idx="55">
                  <c:v>143</c:v>
                </c:pt>
                <c:pt idx="56">
                  <c:v>143</c:v>
                </c:pt>
                <c:pt idx="57">
                  <c:v>143</c:v>
                </c:pt>
                <c:pt idx="58">
                  <c:v>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26-4AF0-BB8C-2B566E709A2B}"/>
            </c:ext>
          </c:extLst>
        </c:ser>
        <c:ser>
          <c:idx val="1"/>
          <c:order val="1"/>
          <c:tx>
            <c:strRef>
              <c:f>Ouest!$L$2</c:f>
              <c:strCache>
                <c:ptCount val="1"/>
                <c:pt idx="0">
                  <c:v>#NOM?</c:v>
                </c:pt>
              </c:strCache>
            </c:strRef>
          </c:tx>
          <c:marker>
            <c:symbol val="none"/>
          </c:marker>
          <c:cat>
            <c:numRef>
              <c:f>Ouest!$J$3:$J$61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Ouest!$L$3:$L$61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626-4AF0-BB8C-2B566E709A2B}"/>
            </c:ext>
          </c:extLst>
        </c:ser>
        <c:ser>
          <c:idx val="2"/>
          <c:order val="2"/>
          <c:tx>
            <c:strRef>
              <c:f>Sud!$M$2</c:f>
              <c:strCache>
                <c:ptCount val="1"/>
                <c:pt idx="0">
                  <c:v>#NOM?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58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626-4AF0-BB8C-2B566E709A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96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Sud!$J$3:$J$61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Sud!$M$3:$M$61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626-4AF0-BB8C-2B566E709A2B}"/>
            </c:ext>
          </c:extLst>
        </c:ser>
        <c:ser>
          <c:idx val="3"/>
          <c:order val="3"/>
          <c:tx>
            <c:strRef>
              <c:f>Sud!$N$2</c:f>
              <c:strCache>
                <c:ptCount val="1"/>
                <c:pt idx="0">
                  <c:v>#NOM?</c:v>
                </c:pt>
              </c:strCache>
            </c:strRef>
          </c:tx>
          <c:spPr>
            <a:ln w="28575" cap="rnd">
              <a:solidFill>
                <a:srgbClr val="9E480E"/>
              </a:solidFill>
              <a:round/>
            </a:ln>
            <a:effectLst/>
          </c:spPr>
          <c:marker>
            <c:symbol val="none"/>
          </c:marker>
          <c:dLbls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626-4AF0-BB8C-2B566E709A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9E480E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Sud!$J$3:$J$61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Sud!$N$3:$N$61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626-4AF0-BB8C-2B566E709A2B}"/>
            </c:ext>
          </c:extLst>
        </c:ser>
        <c:ser>
          <c:idx val="4"/>
          <c:order val="4"/>
          <c:tx>
            <c:strRef>
              <c:f>Sud!$O$2</c:f>
              <c:strCache>
                <c:ptCount val="1"/>
                <c:pt idx="0">
                  <c:v>#NOM?</c:v>
                </c:pt>
              </c:strCache>
            </c:strRef>
          </c:tx>
          <c:spPr>
            <a:ln w="28575" cap="rnd">
              <a:solidFill>
                <a:srgbClr val="997300"/>
              </a:solidFill>
              <a:round/>
            </a:ln>
            <a:effectLst/>
          </c:spPr>
          <c:marker>
            <c:symbol val="none"/>
          </c:marker>
          <c:dLbls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626-4AF0-BB8C-2B566E709A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9973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Sud!$J$3:$J$61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Sud!$O$3:$O$61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626-4AF0-BB8C-2B566E709A2B}"/>
            </c:ext>
          </c:extLst>
        </c:ser>
        <c:ser>
          <c:idx val="5"/>
          <c:order val="5"/>
          <c:tx>
            <c:strRef>
              <c:f>Sud!$P$2</c:f>
              <c:strCache>
                <c:ptCount val="1"/>
                <c:pt idx="0">
                  <c:v>#NOM?</c:v>
                </c:pt>
              </c:strCache>
            </c:strRef>
          </c:tx>
          <c:spPr>
            <a:ln w="28575" cap="rnd">
              <a:solidFill>
                <a:srgbClr val="43682B"/>
              </a:solidFill>
              <a:round/>
            </a:ln>
            <a:effectLst/>
          </c:spPr>
          <c:marker>
            <c:symbol val="none"/>
          </c:marker>
          <c:dLbls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626-4AF0-BB8C-2B566E709A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43682B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Sud!$J$3:$J$61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Sud!$P$3:$P$61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626-4AF0-BB8C-2B566E709A2B}"/>
            </c:ext>
          </c:extLst>
        </c:ser>
        <c:ser>
          <c:idx val="9"/>
          <c:order val="9"/>
          <c:tx>
            <c:strRef>
              <c:f>Sud!$L$2</c:f>
              <c:strCache>
                <c:ptCount val="1"/>
                <c:pt idx="0">
                  <c:v>#NOM?</c:v>
                </c:pt>
              </c:strCache>
            </c:strRef>
          </c:tx>
          <c:marker>
            <c:symbol val="none"/>
          </c:marker>
          <c:dLbls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626-4AF0-BB8C-2B566E709A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rgbClr val="F1975A"/>
                    </a:solidFill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Sud!$L$3:$L$61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626-4AF0-BB8C-2B566E709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2969792"/>
        <c:axId val="2110902608"/>
        <c:extLst>
          <c:ext xmlns:c15="http://schemas.microsoft.com/office/drawing/2012/chart" uri="{02D57815-91ED-43cb-92C2-25804820EDAC}"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Sud!$Q$2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rgbClr val="F1975A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58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C-D626-4AF0-BB8C-2B566E709A2B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rgbClr val="F1975A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Sud!$J$3:$J$61</c15:sqref>
                        </c15:formulaRef>
                      </c:ext>
                    </c:extLst>
                    <c:numCache>
                      <c:formatCode>d\-mmm</c:formatCode>
                      <c:ptCount val="5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  <c:pt idx="29">
                        <c:v>46052</c:v>
                      </c:pt>
                      <c:pt idx="30">
                        <c:v>46053</c:v>
                      </c:pt>
                      <c:pt idx="31">
                        <c:v>46054</c:v>
                      </c:pt>
                      <c:pt idx="32">
                        <c:v>46055</c:v>
                      </c:pt>
                      <c:pt idx="33">
                        <c:v>46056</c:v>
                      </c:pt>
                      <c:pt idx="34">
                        <c:v>46057</c:v>
                      </c:pt>
                      <c:pt idx="35">
                        <c:v>46058</c:v>
                      </c:pt>
                      <c:pt idx="36">
                        <c:v>46059</c:v>
                      </c:pt>
                      <c:pt idx="37">
                        <c:v>46060</c:v>
                      </c:pt>
                      <c:pt idx="38">
                        <c:v>46061</c:v>
                      </c:pt>
                      <c:pt idx="39">
                        <c:v>46062</c:v>
                      </c:pt>
                      <c:pt idx="40">
                        <c:v>46063</c:v>
                      </c:pt>
                      <c:pt idx="41">
                        <c:v>46064</c:v>
                      </c:pt>
                      <c:pt idx="42">
                        <c:v>46065</c:v>
                      </c:pt>
                      <c:pt idx="43">
                        <c:v>46066</c:v>
                      </c:pt>
                      <c:pt idx="44">
                        <c:v>46067</c:v>
                      </c:pt>
                      <c:pt idx="45">
                        <c:v>46068</c:v>
                      </c:pt>
                      <c:pt idx="46">
                        <c:v>46069</c:v>
                      </c:pt>
                      <c:pt idx="47">
                        <c:v>46070</c:v>
                      </c:pt>
                      <c:pt idx="48">
                        <c:v>46071</c:v>
                      </c:pt>
                      <c:pt idx="49">
                        <c:v>46072</c:v>
                      </c:pt>
                      <c:pt idx="50">
                        <c:v>46073</c:v>
                      </c:pt>
                      <c:pt idx="51">
                        <c:v>46074</c:v>
                      </c:pt>
                      <c:pt idx="52">
                        <c:v>46075</c:v>
                      </c:pt>
                      <c:pt idx="53">
                        <c:v>46076</c:v>
                      </c:pt>
                      <c:pt idx="54">
                        <c:v>46077</c:v>
                      </c:pt>
                      <c:pt idx="55">
                        <c:v>46078</c:v>
                      </c:pt>
                      <c:pt idx="56">
                        <c:v>46079</c:v>
                      </c:pt>
                      <c:pt idx="57">
                        <c:v>46080</c:v>
                      </c:pt>
                      <c:pt idx="58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Sud!$Q$3:$Q$61</c15:sqref>
                        </c15:formulaRef>
                      </c:ext>
                    </c:extLst>
                    <c:numCache>
                      <c:formatCode>General</c:formatCode>
                      <c:ptCount val="59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D-D626-4AF0-BB8C-2B566E709A2B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Sud!$R$2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rgbClr val="FFCD3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58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E-D626-4AF0-BB8C-2B566E709A2B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rgbClr val="FFCD33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Sud!$J$3:$J$61</c15:sqref>
                        </c15:formulaRef>
                      </c:ext>
                    </c:extLst>
                    <c:numCache>
                      <c:formatCode>d\-mmm</c:formatCode>
                      <c:ptCount val="5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  <c:pt idx="29">
                        <c:v>46052</c:v>
                      </c:pt>
                      <c:pt idx="30">
                        <c:v>46053</c:v>
                      </c:pt>
                      <c:pt idx="31">
                        <c:v>46054</c:v>
                      </c:pt>
                      <c:pt idx="32">
                        <c:v>46055</c:v>
                      </c:pt>
                      <c:pt idx="33">
                        <c:v>46056</c:v>
                      </c:pt>
                      <c:pt idx="34">
                        <c:v>46057</c:v>
                      </c:pt>
                      <c:pt idx="35">
                        <c:v>46058</c:v>
                      </c:pt>
                      <c:pt idx="36">
                        <c:v>46059</c:v>
                      </c:pt>
                      <c:pt idx="37">
                        <c:v>46060</c:v>
                      </c:pt>
                      <c:pt idx="38">
                        <c:v>46061</c:v>
                      </c:pt>
                      <c:pt idx="39">
                        <c:v>46062</c:v>
                      </c:pt>
                      <c:pt idx="40">
                        <c:v>46063</c:v>
                      </c:pt>
                      <c:pt idx="41">
                        <c:v>46064</c:v>
                      </c:pt>
                      <c:pt idx="42">
                        <c:v>46065</c:v>
                      </c:pt>
                      <c:pt idx="43">
                        <c:v>46066</c:v>
                      </c:pt>
                      <c:pt idx="44">
                        <c:v>46067</c:v>
                      </c:pt>
                      <c:pt idx="45">
                        <c:v>46068</c:v>
                      </c:pt>
                      <c:pt idx="46">
                        <c:v>46069</c:v>
                      </c:pt>
                      <c:pt idx="47">
                        <c:v>46070</c:v>
                      </c:pt>
                      <c:pt idx="48">
                        <c:v>46071</c:v>
                      </c:pt>
                      <c:pt idx="49">
                        <c:v>46072</c:v>
                      </c:pt>
                      <c:pt idx="50">
                        <c:v>46073</c:v>
                      </c:pt>
                      <c:pt idx="51">
                        <c:v>46074</c:v>
                      </c:pt>
                      <c:pt idx="52">
                        <c:v>46075</c:v>
                      </c:pt>
                      <c:pt idx="53">
                        <c:v>46076</c:v>
                      </c:pt>
                      <c:pt idx="54">
                        <c:v>46077</c:v>
                      </c:pt>
                      <c:pt idx="55">
                        <c:v>46078</c:v>
                      </c:pt>
                      <c:pt idx="56">
                        <c:v>46079</c:v>
                      </c:pt>
                      <c:pt idx="57">
                        <c:v>46080</c:v>
                      </c:pt>
                      <c:pt idx="58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Sud!$R$3:$R$61</c15:sqref>
                        </c15:formulaRef>
                      </c:ext>
                    </c:extLst>
                    <c:numCache>
                      <c:formatCode>General</c:formatCode>
                      <c:ptCount val="59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D626-4AF0-BB8C-2B566E709A2B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Sud!$S$2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Sud!$J$3:$J$61</c15:sqref>
                        </c15:formulaRef>
                      </c:ext>
                    </c:extLst>
                    <c:numCache>
                      <c:formatCode>d\-mmm</c:formatCode>
                      <c:ptCount val="5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  <c:pt idx="29">
                        <c:v>46052</c:v>
                      </c:pt>
                      <c:pt idx="30">
                        <c:v>46053</c:v>
                      </c:pt>
                      <c:pt idx="31">
                        <c:v>46054</c:v>
                      </c:pt>
                      <c:pt idx="32">
                        <c:v>46055</c:v>
                      </c:pt>
                      <c:pt idx="33">
                        <c:v>46056</c:v>
                      </c:pt>
                      <c:pt idx="34">
                        <c:v>46057</c:v>
                      </c:pt>
                      <c:pt idx="35">
                        <c:v>46058</c:v>
                      </c:pt>
                      <c:pt idx="36">
                        <c:v>46059</c:v>
                      </c:pt>
                      <c:pt idx="37">
                        <c:v>46060</c:v>
                      </c:pt>
                      <c:pt idx="38">
                        <c:v>46061</c:v>
                      </c:pt>
                      <c:pt idx="39">
                        <c:v>46062</c:v>
                      </c:pt>
                      <c:pt idx="40">
                        <c:v>46063</c:v>
                      </c:pt>
                      <c:pt idx="41">
                        <c:v>46064</c:v>
                      </c:pt>
                      <c:pt idx="42">
                        <c:v>46065</c:v>
                      </c:pt>
                      <c:pt idx="43">
                        <c:v>46066</c:v>
                      </c:pt>
                      <c:pt idx="44">
                        <c:v>46067</c:v>
                      </c:pt>
                      <c:pt idx="45">
                        <c:v>46068</c:v>
                      </c:pt>
                      <c:pt idx="46">
                        <c:v>46069</c:v>
                      </c:pt>
                      <c:pt idx="47">
                        <c:v>46070</c:v>
                      </c:pt>
                      <c:pt idx="48">
                        <c:v>46071</c:v>
                      </c:pt>
                      <c:pt idx="49">
                        <c:v>46072</c:v>
                      </c:pt>
                      <c:pt idx="50">
                        <c:v>46073</c:v>
                      </c:pt>
                      <c:pt idx="51">
                        <c:v>46074</c:v>
                      </c:pt>
                      <c:pt idx="52">
                        <c:v>46075</c:v>
                      </c:pt>
                      <c:pt idx="53">
                        <c:v>46076</c:v>
                      </c:pt>
                      <c:pt idx="54">
                        <c:v>46077</c:v>
                      </c:pt>
                      <c:pt idx="55">
                        <c:v>46078</c:v>
                      </c:pt>
                      <c:pt idx="56">
                        <c:v>46079</c:v>
                      </c:pt>
                      <c:pt idx="57">
                        <c:v>46080</c:v>
                      </c:pt>
                      <c:pt idx="58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Sud!$S$3:$S$61</c15:sqref>
                        </c15:formulaRef>
                      </c:ext>
                    </c:extLst>
                    <c:numCache>
                      <c:formatCode>General</c:formatCode>
                      <c:ptCount val="59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D626-4AF0-BB8C-2B566E709A2B}"/>
                  </c:ext>
                </c:extLst>
              </c15:ser>
            </c15:filteredLineSeries>
          </c:ext>
        </c:extLst>
      </c:lineChart>
      <c:dateAx>
        <c:axId val="177296979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0902608"/>
        <c:crosses val="autoZero"/>
        <c:auto val="1"/>
        <c:lblOffset val="100"/>
        <c:baseTimeUnit val="days"/>
      </c:dateAx>
      <c:valAx>
        <c:axId val="2110902608"/>
        <c:scaling>
          <c:orientation val="minMax"/>
          <c:max val="1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Température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296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184149</xdr:colOff>
      <xdr:row>2</xdr:row>
      <xdr:rowOff>95249</xdr:rowOff>
    </xdr:from>
    <xdr:to>
      <xdr:col>17</xdr:col>
      <xdr:colOff>650874</xdr:colOff>
      <xdr:row>23</xdr:row>
      <xdr:rowOff>133349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EB8628C-AC17-4868-A1E9-CFE380BA38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201600</xdr:colOff>
      <xdr:row>0</xdr:row>
      <xdr:rowOff>213853</xdr:rowOff>
    </xdr:from>
    <xdr:to>
      <xdr:col>7</xdr:col>
      <xdr:colOff>780566</xdr:colOff>
      <xdr:row>22</xdr:row>
      <xdr:rowOff>63358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85F0025D-B623-6858-6E04-831ED99AB8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245107</xdr:colOff>
      <xdr:row>0</xdr:row>
      <xdr:rowOff>331770</xdr:rowOff>
    </xdr:from>
    <xdr:to>
      <xdr:col>8</xdr:col>
      <xdr:colOff>17759</xdr:colOff>
      <xdr:row>22</xdr:row>
      <xdr:rowOff>79326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458B1CB-1E77-438C-A63A-BCF5469B03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245107</xdr:colOff>
      <xdr:row>0</xdr:row>
      <xdr:rowOff>331770</xdr:rowOff>
    </xdr:from>
    <xdr:to>
      <xdr:col>8</xdr:col>
      <xdr:colOff>17759</xdr:colOff>
      <xdr:row>22</xdr:row>
      <xdr:rowOff>79326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66DDEC0-50F7-489A-AB53-95B0F0A8B3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245107</xdr:colOff>
      <xdr:row>0</xdr:row>
      <xdr:rowOff>331770</xdr:rowOff>
    </xdr:from>
    <xdr:to>
      <xdr:col>8</xdr:col>
      <xdr:colOff>17759</xdr:colOff>
      <xdr:row>22</xdr:row>
      <xdr:rowOff>79326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99AD5E1-56CC-4A8D-ABD8-036B6446B7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3"/>
  <sheetViews>
    <sheetView tabSelected="1" zoomScale="75" workbookViewId="0">
      <selection activeCell="T11" sqref="T11"/>
    </sheetView>
  </sheetViews>
  <sheetFormatPr baseColWidth="10" defaultColWidth="8.7109375" defaultRowHeight="15" x14ac:dyDescent="0.25"/>
  <cols>
    <col min="1" max="1" width="13.7109375" style="4" bestFit="1" customWidth="1"/>
    <col min="2" max="20" width="9.42578125" style="10" customWidth="1"/>
    <col min="21" max="22" width="9.42578125" style="2" customWidth="1"/>
    <col min="23" max="89" width="8.7109375" style="2"/>
    <col min="90" max="90" width="23" style="2" bestFit="1" customWidth="1"/>
    <col min="91" max="91" width="25.7109375" style="2" bestFit="1" customWidth="1"/>
    <col min="92" max="16384" width="8.7109375" style="2"/>
  </cols>
  <sheetData>
    <row r="1" spans="1:22" s="5" customFormat="1" x14ac:dyDescent="0.25">
      <c r="A1" s="1" t="s">
        <v>0</v>
      </c>
      <c r="B1" s="11"/>
      <c r="C1" s="11"/>
      <c r="D1" s="11"/>
      <c r="E1" s="11"/>
      <c r="F1" s="11"/>
      <c r="G1" s="11"/>
      <c r="H1" s="11"/>
      <c r="I1" s="11"/>
      <c r="J1" s="16"/>
      <c r="K1" s="16"/>
      <c r="L1" s="16"/>
      <c r="M1" s="16"/>
      <c r="N1" s="16"/>
      <c r="O1" s="14"/>
      <c r="P1" s="15"/>
      <c r="Q1" s="15"/>
      <c r="R1" s="15"/>
      <c r="S1" s="15"/>
      <c r="T1" s="15"/>
      <c r="U1" s="17"/>
      <c r="V1" s="17"/>
    </row>
    <row r="2" spans="1:22" s="5" customFormat="1" x14ac:dyDescent="0.25">
      <c r="A2" s="1" t="s">
        <v>1</v>
      </c>
      <c r="B2" s="11"/>
      <c r="C2" s="11"/>
      <c r="D2" s="11"/>
      <c r="E2" s="11"/>
      <c r="F2" s="11"/>
      <c r="G2" s="11"/>
      <c r="H2" s="11"/>
      <c r="I2" s="11"/>
      <c r="J2" s="16"/>
      <c r="K2" s="16"/>
      <c r="L2" s="16"/>
      <c r="M2" s="16"/>
      <c r="N2" s="16"/>
      <c r="O2" s="14"/>
      <c r="P2" s="15"/>
      <c r="Q2" s="15"/>
      <c r="R2" s="15"/>
      <c r="S2" s="15"/>
      <c r="T2" s="15"/>
      <c r="U2" s="17"/>
      <c r="V2" s="17"/>
    </row>
    <row r="3" spans="1:22" s="5" customFormat="1" x14ac:dyDescent="0.25">
      <c r="A3" s="1" t="s">
        <v>2</v>
      </c>
      <c r="B3" s="11"/>
      <c r="C3" s="11"/>
      <c r="D3" s="11"/>
      <c r="E3" s="11"/>
      <c r="F3" s="11"/>
      <c r="G3" s="11"/>
      <c r="H3" s="11"/>
      <c r="I3" s="11"/>
      <c r="J3" s="16"/>
      <c r="K3" s="16"/>
      <c r="L3" s="16"/>
      <c r="M3" s="16"/>
      <c r="N3" s="16"/>
      <c r="O3" s="14"/>
      <c r="P3" s="15"/>
      <c r="Q3" s="15"/>
      <c r="R3" s="15"/>
      <c r="S3" s="15"/>
      <c r="T3" s="15"/>
      <c r="U3" s="17"/>
      <c r="V3" s="17"/>
    </row>
    <row r="4" spans="1:22" x14ac:dyDescent="0.25">
      <c r="A4" s="3">
        <v>45658</v>
      </c>
    </row>
    <row r="5" spans="1:22" x14ac:dyDescent="0.25">
      <c r="A5" s="3">
        <v>45659</v>
      </c>
    </row>
    <row r="6" spans="1:22" x14ac:dyDescent="0.25">
      <c r="A6" s="3">
        <v>45660</v>
      </c>
    </row>
    <row r="7" spans="1:22" x14ac:dyDescent="0.25">
      <c r="A7" s="3">
        <v>45661</v>
      </c>
    </row>
    <row r="8" spans="1:22" x14ac:dyDescent="0.25">
      <c r="A8" s="3">
        <v>45662</v>
      </c>
    </row>
    <row r="9" spans="1:22" x14ac:dyDescent="0.25">
      <c r="A9" s="3">
        <v>45663</v>
      </c>
    </row>
    <row r="10" spans="1:22" x14ac:dyDescent="0.25">
      <c r="A10" s="3">
        <v>45664</v>
      </c>
    </row>
    <row r="11" spans="1:22" x14ac:dyDescent="0.25">
      <c r="A11" s="3">
        <v>45665</v>
      </c>
    </row>
    <row r="12" spans="1:22" x14ac:dyDescent="0.25">
      <c r="A12" s="3">
        <v>45666</v>
      </c>
    </row>
    <row r="13" spans="1:22" x14ac:dyDescent="0.25">
      <c r="A13" s="3">
        <v>45667</v>
      </c>
    </row>
    <row r="14" spans="1:22" x14ac:dyDescent="0.25">
      <c r="A14" s="3">
        <v>45668</v>
      </c>
    </row>
    <row r="15" spans="1:22" x14ac:dyDescent="0.25">
      <c r="A15" s="3">
        <v>45669</v>
      </c>
    </row>
    <row r="16" spans="1:22" x14ac:dyDescent="0.25">
      <c r="A16" s="3">
        <v>45670</v>
      </c>
    </row>
    <row r="17" spans="1:1" x14ac:dyDescent="0.25">
      <c r="A17" s="3">
        <v>45671</v>
      </c>
    </row>
    <row r="18" spans="1:1" x14ac:dyDescent="0.25">
      <c r="A18" s="3">
        <v>45672</v>
      </c>
    </row>
    <row r="19" spans="1:1" x14ac:dyDescent="0.25">
      <c r="A19" s="3">
        <v>45673</v>
      </c>
    </row>
    <row r="20" spans="1:1" x14ac:dyDescent="0.25">
      <c r="A20" s="3">
        <v>45674</v>
      </c>
    </row>
    <row r="21" spans="1:1" x14ac:dyDescent="0.25">
      <c r="A21" s="3">
        <v>45675</v>
      </c>
    </row>
    <row r="22" spans="1:1" x14ac:dyDescent="0.25">
      <c r="A22" s="3">
        <v>45676</v>
      </c>
    </row>
    <row r="23" spans="1:1" x14ac:dyDescent="0.25">
      <c r="A23" s="3">
        <v>45677</v>
      </c>
    </row>
    <row r="24" spans="1:1" x14ac:dyDescent="0.25">
      <c r="A24" s="3">
        <v>45678</v>
      </c>
    </row>
    <row r="25" spans="1:1" x14ac:dyDescent="0.25">
      <c r="A25" s="3">
        <v>45679</v>
      </c>
    </row>
    <row r="26" spans="1:1" x14ac:dyDescent="0.25">
      <c r="A26" s="3">
        <v>45680</v>
      </c>
    </row>
    <row r="27" spans="1:1" x14ac:dyDescent="0.25">
      <c r="A27" s="3">
        <v>45681</v>
      </c>
    </row>
    <row r="28" spans="1:1" x14ac:dyDescent="0.25">
      <c r="A28" s="3">
        <v>45682</v>
      </c>
    </row>
    <row r="29" spans="1:1" x14ac:dyDescent="0.25">
      <c r="A29" s="3">
        <v>45683</v>
      </c>
    </row>
    <row r="30" spans="1:1" x14ac:dyDescent="0.25">
      <c r="A30" s="3">
        <v>45684</v>
      </c>
    </row>
    <row r="31" spans="1:1" x14ac:dyDescent="0.25">
      <c r="A31" s="3">
        <v>45685</v>
      </c>
    </row>
    <row r="32" spans="1:1" x14ac:dyDescent="0.25">
      <c r="A32" s="3">
        <v>45686</v>
      </c>
    </row>
    <row r="33" spans="1:1" x14ac:dyDescent="0.25">
      <c r="A33" s="3">
        <v>45687</v>
      </c>
    </row>
    <row r="34" spans="1:1" x14ac:dyDescent="0.25">
      <c r="A34" s="3">
        <v>45688</v>
      </c>
    </row>
    <row r="35" spans="1:1" x14ac:dyDescent="0.25">
      <c r="A35" s="3">
        <v>45689</v>
      </c>
    </row>
    <row r="36" spans="1:1" x14ac:dyDescent="0.25">
      <c r="A36" s="3">
        <v>45690</v>
      </c>
    </row>
    <row r="37" spans="1:1" x14ac:dyDescent="0.25">
      <c r="A37" s="3">
        <v>45691</v>
      </c>
    </row>
    <row r="38" spans="1:1" x14ac:dyDescent="0.25">
      <c r="A38" s="3">
        <v>45692</v>
      </c>
    </row>
    <row r="39" spans="1:1" x14ac:dyDescent="0.25">
      <c r="A39" s="3">
        <v>45693</v>
      </c>
    </row>
    <row r="40" spans="1:1" x14ac:dyDescent="0.25">
      <c r="A40" s="3">
        <v>45694</v>
      </c>
    </row>
    <row r="41" spans="1:1" x14ac:dyDescent="0.25">
      <c r="A41" s="3">
        <v>45695</v>
      </c>
    </row>
    <row r="42" spans="1:1" x14ac:dyDescent="0.25">
      <c r="A42" s="3">
        <v>45696</v>
      </c>
    </row>
    <row r="43" spans="1:1" x14ac:dyDescent="0.25">
      <c r="A43" s="3">
        <v>45697</v>
      </c>
    </row>
    <row r="44" spans="1:1" x14ac:dyDescent="0.25">
      <c r="A44" s="3">
        <v>45698</v>
      </c>
    </row>
    <row r="45" spans="1:1" x14ac:dyDescent="0.25">
      <c r="A45" s="3">
        <v>45699</v>
      </c>
    </row>
    <row r="46" spans="1:1" x14ac:dyDescent="0.25">
      <c r="A46" s="3">
        <v>45700</v>
      </c>
    </row>
    <row r="47" spans="1:1" x14ac:dyDescent="0.25">
      <c r="A47" s="3">
        <v>45701</v>
      </c>
    </row>
    <row r="48" spans="1:1" x14ac:dyDescent="0.25">
      <c r="A48" s="3">
        <v>45702</v>
      </c>
    </row>
    <row r="49" spans="1:1" x14ac:dyDescent="0.25">
      <c r="A49" s="3">
        <v>45703</v>
      </c>
    </row>
    <row r="50" spans="1:1" x14ac:dyDescent="0.25">
      <c r="A50" s="3">
        <v>45704</v>
      </c>
    </row>
    <row r="51" spans="1:1" x14ac:dyDescent="0.25">
      <c r="A51" s="3">
        <v>45705</v>
      </c>
    </row>
    <row r="52" spans="1:1" x14ac:dyDescent="0.25">
      <c r="A52" s="3">
        <v>45706</v>
      </c>
    </row>
    <row r="53" spans="1:1" x14ac:dyDescent="0.25">
      <c r="A53" s="3">
        <v>45707</v>
      </c>
    </row>
    <row r="54" spans="1:1" x14ac:dyDescent="0.25">
      <c r="A54" s="3">
        <v>45708</v>
      </c>
    </row>
    <row r="55" spans="1:1" x14ac:dyDescent="0.25">
      <c r="A55" s="3">
        <v>45709</v>
      </c>
    </row>
    <row r="56" spans="1:1" x14ac:dyDescent="0.25">
      <c r="A56" s="3">
        <v>45710</v>
      </c>
    </row>
    <row r="57" spans="1:1" x14ac:dyDescent="0.25">
      <c r="A57" s="3">
        <v>45711</v>
      </c>
    </row>
    <row r="58" spans="1:1" x14ac:dyDescent="0.25">
      <c r="A58" s="3">
        <v>45712</v>
      </c>
    </row>
    <row r="59" spans="1:1" x14ac:dyDescent="0.25">
      <c r="A59" s="3">
        <v>45713</v>
      </c>
    </row>
    <row r="60" spans="1:1" x14ac:dyDescent="0.25">
      <c r="A60" s="3">
        <v>45714</v>
      </c>
    </row>
    <row r="61" spans="1:1" x14ac:dyDescent="0.25">
      <c r="A61" s="3">
        <v>45715</v>
      </c>
    </row>
    <row r="62" spans="1:1" x14ac:dyDescent="0.25">
      <c r="A62" s="3">
        <v>45716</v>
      </c>
    </row>
    <row r="63" spans="1:1" x14ac:dyDescent="0.25">
      <c r="A63" s="3">
        <v>45717</v>
      </c>
    </row>
    <row r="64" spans="1:1" x14ac:dyDescent="0.25">
      <c r="A64" s="3">
        <v>45718</v>
      </c>
    </row>
    <row r="65" spans="1:1" x14ac:dyDescent="0.25">
      <c r="A65" s="3">
        <v>45719</v>
      </c>
    </row>
    <row r="66" spans="1:1" x14ac:dyDescent="0.25">
      <c r="A66" s="3">
        <v>45720</v>
      </c>
    </row>
    <row r="67" spans="1:1" x14ac:dyDescent="0.25">
      <c r="A67" s="3">
        <v>45721</v>
      </c>
    </row>
    <row r="68" spans="1:1" x14ac:dyDescent="0.25">
      <c r="A68" s="3">
        <v>45722</v>
      </c>
    </row>
    <row r="69" spans="1:1" x14ac:dyDescent="0.25">
      <c r="A69" s="3">
        <v>45723</v>
      </c>
    </row>
    <row r="70" spans="1:1" x14ac:dyDescent="0.25">
      <c r="A70" s="3">
        <v>45724</v>
      </c>
    </row>
    <row r="71" spans="1:1" x14ac:dyDescent="0.25">
      <c r="A71" s="3">
        <v>45725</v>
      </c>
    </row>
    <row r="72" spans="1:1" x14ac:dyDescent="0.25">
      <c r="A72" s="3">
        <v>45726</v>
      </c>
    </row>
    <row r="73" spans="1:1" x14ac:dyDescent="0.25">
      <c r="A73" s="3">
        <v>45727</v>
      </c>
    </row>
    <row r="74" spans="1:1" x14ac:dyDescent="0.25">
      <c r="A74" s="3">
        <v>45728</v>
      </c>
    </row>
    <row r="75" spans="1:1" x14ac:dyDescent="0.25">
      <c r="A75" s="3">
        <v>45729</v>
      </c>
    </row>
    <row r="76" spans="1:1" x14ac:dyDescent="0.25">
      <c r="A76" s="3">
        <v>45730</v>
      </c>
    </row>
    <row r="77" spans="1:1" x14ac:dyDescent="0.25">
      <c r="A77" s="3">
        <v>45731</v>
      </c>
    </row>
    <row r="78" spans="1:1" x14ac:dyDescent="0.25">
      <c r="A78" s="3">
        <v>45732</v>
      </c>
    </row>
    <row r="79" spans="1:1" x14ac:dyDescent="0.25">
      <c r="A79" s="3">
        <v>45733</v>
      </c>
    </row>
    <row r="80" spans="1:1" x14ac:dyDescent="0.25">
      <c r="A80" s="3">
        <v>45734</v>
      </c>
    </row>
    <row r="81" spans="1:1" x14ac:dyDescent="0.25">
      <c r="A81" s="3">
        <v>45735</v>
      </c>
    </row>
    <row r="82" spans="1:1" x14ac:dyDescent="0.25">
      <c r="A82" s="3">
        <v>45736</v>
      </c>
    </row>
    <row r="83" spans="1:1" x14ac:dyDescent="0.25">
      <c r="A83" s="3">
        <v>45737</v>
      </c>
    </row>
    <row r="84" spans="1:1" x14ac:dyDescent="0.25">
      <c r="A84" s="3">
        <v>45738</v>
      </c>
    </row>
    <row r="85" spans="1:1" x14ac:dyDescent="0.25">
      <c r="A85" s="3">
        <v>45739</v>
      </c>
    </row>
    <row r="86" spans="1:1" x14ac:dyDescent="0.25">
      <c r="A86" s="3">
        <v>45740</v>
      </c>
    </row>
    <row r="87" spans="1:1" x14ac:dyDescent="0.25">
      <c r="A87" s="3">
        <v>45741</v>
      </c>
    </row>
    <row r="88" spans="1:1" x14ac:dyDescent="0.25">
      <c r="A88" s="3">
        <v>45742</v>
      </c>
    </row>
    <row r="89" spans="1:1" x14ac:dyDescent="0.25">
      <c r="A89" s="3">
        <v>45743</v>
      </c>
    </row>
    <row r="90" spans="1:1" x14ac:dyDescent="0.25">
      <c r="A90" s="3">
        <v>45744</v>
      </c>
    </row>
    <row r="91" spans="1:1" x14ac:dyDescent="0.25">
      <c r="A91" s="3">
        <v>45745</v>
      </c>
    </row>
    <row r="92" spans="1:1" x14ac:dyDescent="0.25">
      <c r="A92" s="3">
        <v>45746</v>
      </c>
    </row>
    <row r="93" spans="1:1" x14ac:dyDescent="0.25">
      <c r="A93" s="3">
        <v>45747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1BD90-5D60-4790-83AE-AB9B49A04315}">
  <dimension ref="A1:K92"/>
  <sheetViews>
    <sheetView zoomScale="68" workbookViewId="0">
      <selection activeCell="K29" sqref="K29"/>
    </sheetView>
  </sheetViews>
  <sheetFormatPr baseColWidth="10" defaultColWidth="11.42578125" defaultRowHeight="15" x14ac:dyDescent="0.25"/>
  <cols>
    <col min="1" max="1" width="12.28515625" bestFit="1" customWidth="1"/>
    <col min="2" max="2" width="12.28515625" customWidth="1"/>
    <col min="11" max="11" width="11.28515625" bestFit="1" customWidth="1"/>
    <col min="12" max="12" width="13.140625" bestFit="1" customWidth="1"/>
  </cols>
  <sheetData>
    <row r="1" spans="1:11" ht="30" x14ac:dyDescent="0.25">
      <c r="A1" s="7" t="s">
        <v>1</v>
      </c>
      <c r="B1" s="7"/>
      <c r="C1" s="7">
        <f>Data!I3</f>
        <v>0</v>
      </c>
      <c r="D1" s="7"/>
      <c r="E1" s="7"/>
      <c r="F1" s="7"/>
      <c r="G1" s="7"/>
      <c r="H1" s="7"/>
      <c r="I1" s="7"/>
    </row>
    <row r="2" spans="1:11" ht="45" x14ac:dyDescent="0.25">
      <c r="A2" s="7" t="s">
        <v>0</v>
      </c>
      <c r="B2" s="7" t="s">
        <v>3</v>
      </c>
      <c r="C2" s="7" t="e">
        <f ca="1">_xlfn.CONCAT(Data!I1," (",Data!I2,")")</f>
        <v>#NAME?</v>
      </c>
      <c r="D2" s="7" t="s">
        <v>7</v>
      </c>
      <c r="E2" s="7"/>
      <c r="F2" s="7"/>
      <c r="G2" s="7"/>
      <c r="H2" s="7"/>
      <c r="I2" s="7"/>
    </row>
    <row r="3" spans="1:11" x14ac:dyDescent="0.25">
      <c r="A3" s="8">
        <v>46023</v>
      </c>
      <c r="B3" s="9">
        <v>143</v>
      </c>
      <c r="C3" s="9">
        <f>IF(Data!I4-4&gt;0,Data!I4-4,0)</f>
        <v>0</v>
      </c>
      <c r="D3" s="9">
        <f>IF(Data!I4&gt;0,Data!I4,0)</f>
        <v>0</v>
      </c>
      <c r="E3" s="9"/>
      <c r="F3" s="9"/>
      <c r="G3" s="9"/>
      <c r="H3" s="9"/>
      <c r="I3" s="9"/>
      <c r="K3" s="6"/>
    </row>
    <row r="4" spans="1:11" x14ac:dyDescent="0.25">
      <c r="A4" s="8">
        <v>46024</v>
      </c>
      <c r="B4" s="9">
        <v>143</v>
      </c>
      <c r="C4" s="9">
        <f>IF(Data!I5-4&gt;0,Data!I5-4,0)+C3</f>
        <v>0</v>
      </c>
      <c r="D4" s="9">
        <f>IF(Data!I5&gt;0,Data!I5,0)+D3</f>
        <v>0</v>
      </c>
      <c r="E4" s="9"/>
      <c r="F4" s="9"/>
      <c r="G4" s="9"/>
      <c r="H4" s="9"/>
      <c r="I4" s="9"/>
      <c r="K4" s="6"/>
    </row>
    <row r="5" spans="1:11" x14ac:dyDescent="0.25">
      <c r="A5" s="8">
        <v>46025</v>
      </c>
      <c r="B5" s="9">
        <v>143</v>
      </c>
      <c r="C5" s="9">
        <f>IF(Data!I6-4&gt;0,Data!I6-4,0)+C4</f>
        <v>0</v>
      </c>
      <c r="D5" s="9">
        <f>IF(Data!I6&gt;0,Data!I6,0)+D4</f>
        <v>0</v>
      </c>
      <c r="E5" s="9"/>
      <c r="F5" s="9"/>
      <c r="G5" s="9"/>
      <c r="H5" s="9"/>
      <c r="I5" s="9"/>
      <c r="K5" s="6"/>
    </row>
    <row r="6" spans="1:11" x14ac:dyDescent="0.25">
      <c r="A6" s="8">
        <v>46026</v>
      </c>
      <c r="B6" s="9">
        <v>143</v>
      </c>
      <c r="C6" s="9">
        <f>IF(Data!I7-4&gt;0,Data!I7-4,0)+C5</f>
        <v>0</v>
      </c>
      <c r="D6" s="9">
        <f>IF(Data!I7&gt;0,Data!I7,0)+D5</f>
        <v>0</v>
      </c>
      <c r="E6" s="9"/>
      <c r="F6" s="9"/>
      <c r="G6" s="9"/>
      <c r="H6" s="9"/>
      <c r="I6" s="9"/>
      <c r="K6" s="6"/>
    </row>
    <row r="7" spans="1:11" x14ac:dyDescent="0.25">
      <c r="A7" s="8">
        <v>46027</v>
      </c>
      <c r="B7" s="9">
        <v>143</v>
      </c>
      <c r="C7" s="9">
        <f>IF(Data!I8-4&gt;0,Data!I8-4,0)+C6</f>
        <v>0</v>
      </c>
      <c r="D7" s="9">
        <f>IF(Data!I8&gt;0,Data!I8,0)+D6</f>
        <v>0</v>
      </c>
      <c r="E7" s="9"/>
      <c r="F7" s="9"/>
      <c r="G7" s="9"/>
      <c r="H7" s="9"/>
      <c r="I7" s="9"/>
      <c r="K7" s="6"/>
    </row>
    <row r="8" spans="1:11" x14ac:dyDescent="0.25">
      <c r="A8" s="8">
        <v>46028</v>
      </c>
      <c r="B8" s="9">
        <v>143</v>
      </c>
      <c r="C8" s="9">
        <f>IF(Data!I9-4&gt;0,Data!I9-4,0)+C7</f>
        <v>0</v>
      </c>
      <c r="D8" s="9">
        <f>IF(Data!I9&gt;0,Data!I9,0)+D7</f>
        <v>0</v>
      </c>
      <c r="E8" s="9"/>
      <c r="F8" s="9"/>
      <c r="G8" s="9"/>
      <c r="H8" s="9"/>
      <c r="I8" s="9"/>
      <c r="K8" s="6"/>
    </row>
    <row r="9" spans="1:11" x14ac:dyDescent="0.25">
      <c r="A9" s="8">
        <v>46029</v>
      </c>
      <c r="B9" s="9">
        <v>143</v>
      </c>
      <c r="C9" s="9">
        <f>IF(Data!I10-4&gt;0,Data!I10-4,0)+C8</f>
        <v>0</v>
      </c>
      <c r="D9" s="9">
        <f>IF(Data!I10&gt;0,Data!I10,0)+D8</f>
        <v>0</v>
      </c>
      <c r="E9" s="9"/>
      <c r="F9" s="9"/>
      <c r="G9" s="9"/>
      <c r="H9" s="9"/>
      <c r="I9" s="9"/>
      <c r="K9" s="6"/>
    </row>
    <row r="10" spans="1:11" x14ac:dyDescent="0.25">
      <c r="A10" s="8">
        <v>46030</v>
      </c>
      <c r="B10" s="9">
        <v>143</v>
      </c>
      <c r="C10" s="9">
        <f>IF(Data!I11-4&gt;0,Data!I11-4,0)+C9</f>
        <v>0</v>
      </c>
      <c r="D10" s="9">
        <f>IF(Data!I11&gt;0,Data!I11,0)+D9</f>
        <v>0</v>
      </c>
      <c r="E10" s="9"/>
      <c r="F10" s="9"/>
      <c r="G10" s="9"/>
      <c r="H10" s="9"/>
      <c r="I10" s="9"/>
      <c r="K10" s="6"/>
    </row>
    <row r="11" spans="1:11" x14ac:dyDescent="0.25">
      <c r="A11" s="8">
        <v>46031</v>
      </c>
      <c r="B11" s="9">
        <v>143</v>
      </c>
      <c r="C11" s="9">
        <f>IF(Data!I12-4&gt;0,Data!I12-4,0)+C10</f>
        <v>0</v>
      </c>
      <c r="D11" s="9">
        <f>IF(Data!I12&gt;0,Data!I12,0)+D10</f>
        <v>0</v>
      </c>
      <c r="E11" s="9"/>
      <c r="F11" s="9"/>
      <c r="G11" s="9"/>
      <c r="H11" s="9"/>
      <c r="I11" s="9"/>
      <c r="K11" s="6"/>
    </row>
    <row r="12" spans="1:11" x14ac:dyDescent="0.25">
      <c r="A12" s="8">
        <v>46032</v>
      </c>
      <c r="B12" s="9">
        <v>143</v>
      </c>
      <c r="C12" s="9">
        <f>IF(Data!I13-4&gt;0,Data!I13-4,0)+C11</f>
        <v>0</v>
      </c>
      <c r="D12" s="9">
        <f>IF(Data!I13&gt;0,Data!I13,0)+D11</f>
        <v>0</v>
      </c>
      <c r="E12" s="9"/>
      <c r="F12" s="9"/>
      <c r="G12" s="9"/>
      <c r="H12" s="9"/>
      <c r="I12" s="9"/>
      <c r="K12" s="6"/>
    </row>
    <row r="13" spans="1:11" x14ac:dyDescent="0.25">
      <c r="A13" s="8">
        <v>46033</v>
      </c>
      <c r="B13" s="9">
        <v>143</v>
      </c>
      <c r="C13" s="9">
        <f>IF(Data!I14-4&gt;0,Data!I14-4,0)+C12</f>
        <v>0</v>
      </c>
      <c r="D13" s="9">
        <f>IF(Data!I14&gt;0,Data!I14,0)+D12</f>
        <v>0</v>
      </c>
      <c r="E13" s="9"/>
      <c r="F13" s="9"/>
      <c r="G13" s="9"/>
      <c r="H13" s="9"/>
      <c r="I13" s="9"/>
      <c r="K13" s="6"/>
    </row>
    <row r="14" spans="1:11" x14ac:dyDescent="0.25">
      <c r="A14" s="8">
        <v>46034</v>
      </c>
      <c r="B14" s="9">
        <v>143</v>
      </c>
      <c r="C14" s="9">
        <f>IF(Data!I15-4&gt;0,Data!I15-4,0)+C13</f>
        <v>0</v>
      </c>
      <c r="D14" s="9">
        <f>IF(Data!I15&gt;0,Data!I15,0)+D13</f>
        <v>0</v>
      </c>
      <c r="E14" s="9"/>
      <c r="F14" s="9"/>
      <c r="G14" s="9"/>
      <c r="H14" s="9"/>
      <c r="I14" s="9"/>
      <c r="K14" s="6"/>
    </row>
    <row r="15" spans="1:11" x14ac:dyDescent="0.25">
      <c r="A15" s="8">
        <v>46035</v>
      </c>
      <c r="B15" s="9">
        <v>143</v>
      </c>
      <c r="C15" s="9">
        <f>IF(Data!I16-4&gt;0,Data!I16-4,0)+C14</f>
        <v>0</v>
      </c>
      <c r="D15" s="9">
        <f>IF(Data!I16&gt;0,Data!I16,0)+D14</f>
        <v>0</v>
      </c>
      <c r="E15" s="9"/>
      <c r="F15" s="9"/>
      <c r="G15" s="9"/>
      <c r="H15" s="9"/>
      <c r="I15" s="9"/>
      <c r="K15" s="6"/>
    </row>
    <row r="16" spans="1:11" x14ac:dyDescent="0.25">
      <c r="A16" s="8">
        <v>46036</v>
      </c>
      <c r="B16" s="9">
        <v>143</v>
      </c>
      <c r="C16" s="9">
        <f>IF(Data!I17-4&gt;0,Data!I17-4,0)+C15</f>
        <v>0</v>
      </c>
      <c r="D16" s="9">
        <f>IF(Data!I17&gt;0,Data!I17,0)+D15</f>
        <v>0</v>
      </c>
      <c r="E16" s="9"/>
      <c r="F16" s="9"/>
      <c r="G16" s="9"/>
      <c r="H16" s="9"/>
      <c r="I16" s="9"/>
      <c r="K16" s="6"/>
    </row>
    <row r="17" spans="1:11" x14ac:dyDescent="0.25">
      <c r="A17" s="8">
        <v>46037</v>
      </c>
      <c r="B17" s="9">
        <v>143</v>
      </c>
      <c r="C17" s="9">
        <f>IF(Data!I18-4&gt;0,Data!I18-4,0)+C16</f>
        <v>0</v>
      </c>
      <c r="D17" s="9">
        <f>IF(Data!I18&gt;0,Data!I18,0)+D16</f>
        <v>0</v>
      </c>
      <c r="E17" s="9"/>
      <c r="F17" s="9"/>
      <c r="G17" s="9"/>
      <c r="H17" s="9"/>
      <c r="I17" s="9"/>
      <c r="K17" s="6"/>
    </row>
    <row r="18" spans="1:11" x14ac:dyDescent="0.25">
      <c r="A18" s="8">
        <v>46038</v>
      </c>
      <c r="B18" s="9">
        <v>143</v>
      </c>
      <c r="C18" s="9">
        <f>IF(Data!I19-4&gt;0,Data!I19-4,0)+C17</f>
        <v>0</v>
      </c>
      <c r="D18" s="9">
        <f>IF(Data!I19&gt;0,Data!I19,0)+D17</f>
        <v>0</v>
      </c>
      <c r="E18" s="9"/>
      <c r="F18" s="9"/>
      <c r="G18" s="9"/>
      <c r="H18" s="9"/>
      <c r="I18" s="9"/>
      <c r="K18" s="6"/>
    </row>
    <row r="19" spans="1:11" x14ac:dyDescent="0.25">
      <c r="A19" s="8">
        <v>46039</v>
      </c>
      <c r="B19" s="9">
        <v>143</v>
      </c>
      <c r="C19" s="9">
        <f>IF(Data!I20-4&gt;0,Data!I20-4,0)+C18</f>
        <v>0</v>
      </c>
      <c r="D19" s="9">
        <f>IF(Data!I20&gt;0,Data!I20,0)+D18</f>
        <v>0</v>
      </c>
      <c r="E19" s="9"/>
      <c r="F19" s="9"/>
      <c r="G19" s="9"/>
      <c r="H19" s="9"/>
      <c r="I19" s="9"/>
      <c r="K19" s="6"/>
    </row>
    <row r="20" spans="1:11" x14ac:dyDescent="0.25">
      <c r="A20" s="8">
        <v>46040</v>
      </c>
      <c r="B20" s="9">
        <v>143</v>
      </c>
      <c r="C20" s="9">
        <f>IF(Data!I21-4&gt;0,Data!I21-4,0)+C19</f>
        <v>0</v>
      </c>
      <c r="D20" s="9">
        <f>IF(Data!I21&gt;0,Data!I21,0)+D19</f>
        <v>0</v>
      </c>
      <c r="E20" s="9"/>
      <c r="F20" s="9"/>
      <c r="G20" s="9"/>
      <c r="H20" s="9"/>
      <c r="I20" s="9"/>
      <c r="K20" s="6"/>
    </row>
    <row r="21" spans="1:11" x14ac:dyDescent="0.25">
      <c r="A21" s="8">
        <v>46041</v>
      </c>
      <c r="B21" s="9">
        <v>143</v>
      </c>
      <c r="C21" s="9">
        <f>IF(Data!I22-4&gt;0,Data!I22-4,0)+C20</f>
        <v>0</v>
      </c>
      <c r="D21" s="9">
        <f>IF(Data!I22&gt;0,Data!I22,0)+D20</f>
        <v>0</v>
      </c>
      <c r="E21" s="9"/>
      <c r="F21" s="9"/>
      <c r="G21" s="9"/>
      <c r="H21" s="9"/>
      <c r="I21" s="9"/>
      <c r="K21" s="6"/>
    </row>
    <row r="22" spans="1:11" x14ac:dyDescent="0.25">
      <c r="A22" s="8">
        <v>46042</v>
      </c>
      <c r="B22" s="9">
        <v>143</v>
      </c>
      <c r="C22" s="9">
        <f>IF(Data!I23-4&gt;0,Data!I23-4,0)+C21</f>
        <v>0</v>
      </c>
      <c r="D22" s="9">
        <f>IF(Data!I23&gt;0,Data!I23,0)+D21</f>
        <v>0</v>
      </c>
      <c r="E22" s="9"/>
      <c r="F22" s="9"/>
      <c r="G22" s="9"/>
      <c r="H22" s="9"/>
      <c r="I22" s="9"/>
    </row>
    <row r="23" spans="1:11" x14ac:dyDescent="0.25">
      <c r="A23" s="8">
        <v>46043</v>
      </c>
      <c r="B23" s="9">
        <v>143</v>
      </c>
      <c r="C23" s="9">
        <f>IF(Data!I24-4&gt;0,Data!I24-4,0)+C22</f>
        <v>0</v>
      </c>
      <c r="D23" s="9">
        <f>IF(Data!I24&gt;0,Data!I24,0)+D22</f>
        <v>0</v>
      </c>
      <c r="E23" s="9"/>
      <c r="F23" s="9"/>
      <c r="G23" s="9"/>
      <c r="H23" s="9"/>
      <c r="I23" s="9"/>
    </row>
    <row r="24" spans="1:11" x14ac:dyDescent="0.25">
      <c r="A24" s="8">
        <v>46044</v>
      </c>
      <c r="B24" s="9">
        <v>143</v>
      </c>
      <c r="C24" s="9">
        <f>IF(Data!I25-4&gt;0,Data!I25-4,0)+C23</f>
        <v>0</v>
      </c>
      <c r="D24" s="9">
        <f>IF(Data!I25&gt;0,Data!I25,0)+D23</f>
        <v>0</v>
      </c>
      <c r="E24" s="9"/>
      <c r="F24" s="9"/>
      <c r="G24" s="9"/>
      <c r="H24" s="9"/>
      <c r="I24" s="9"/>
    </row>
    <row r="25" spans="1:11" x14ac:dyDescent="0.25">
      <c r="A25" s="8">
        <v>46045</v>
      </c>
      <c r="B25" s="9">
        <v>143</v>
      </c>
      <c r="C25" s="9">
        <f>IF(Data!I26-4&gt;0,Data!I26-4,0)+C24</f>
        <v>0</v>
      </c>
      <c r="D25" s="9">
        <f>IF(Data!I26&gt;0,Data!I26,0)+D24</f>
        <v>0</v>
      </c>
      <c r="E25" s="9"/>
      <c r="F25" s="9"/>
      <c r="G25" s="9"/>
      <c r="H25" s="9"/>
      <c r="I25" s="9"/>
    </row>
    <row r="26" spans="1:11" x14ac:dyDescent="0.25">
      <c r="A26" s="8">
        <v>46046</v>
      </c>
      <c r="B26" s="9">
        <v>143</v>
      </c>
      <c r="C26" s="9">
        <f>IF(Data!I27-4&gt;0,Data!I27-4,0)+C25</f>
        <v>0</v>
      </c>
      <c r="D26" s="9">
        <f>IF(Data!I27&gt;0,Data!I27,0)+D25</f>
        <v>0</v>
      </c>
      <c r="E26" s="9"/>
      <c r="F26" s="9"/>
      <c r="G26" s="9"/>
      <c r="H26" s="9"/>
      <c r="I26" s="9"/>
    </row>
    <row r="27" spans="1:11" x14ac:dyDescent="0.25">
      <c r="A27" s="8">
        <v>46047</v>
      </c>
      <c r="B27" s="9">
        <v>143</v>
      </c>
      <c r="C27" s="9">
        <f>IF(Data!I28-4&gt;0,Data!I28-4,0)+C26</f>
        <v>0</v>
      </c>
      <c r="D27" s="9">
        <f>IF(Data!I28&gt;0,Data!I28,0)+D26</f>
        <v>0</v>
      </c>
      <c r="E27" s="9"/>
      <c r="F27" s="9"/>
      <c r="G27" s="9"/>
      <c r="H27" s="9"/>
      <c r="I27" s="9"/>
    </row>
    <row r="28" spans="1:11" x14ac:dyDescent="0.25">
      <c r="A28" s="8">
        <v>46048</v>
      </c>
      <c r="B28" s="9">
        <v>143</v>
      </c>
      <c r="C28" s="9">
        <f>IF(Data!I29-4&gt;0,Data!I29-4,0)+C27</f>
        <v>0</v>
      </c>
      <c r="D28" s="9">
        <f>IF(Data!I29&gt;0,Data!I29,0)+D27</f>
        <v>0</v>
      </c>
      <c r="E28" s="9"/>
      <c r="F28" s="9"/>
      <c r="G28" s="9"/>
      <c r="H28" s="9"/>
      <c r="I28" s="9"/>
    </row>
    <row r="29" spans="1:11" x14ac:dyDescent="0.25">
      <c r="A29" s="8">
        <v>46049</v>
      </c>
      <c r="B29" s="9">
        <v>143</v>
      </c>
      <c r="C29" s="9">
        <f>IF(Data!I30-4&gt;0,Data!I30-4,0)+C28</f>
        <v>0</v>
      </c>
      <c r="D29" s="9">
        <f>IF(Data!I30&gt;0,Data!I30,0)+D28</f>
        <v>0</v>
      </c>
      <c r="E29" s="9"/>
      <c r="F29" s="9"/>
      <c r="G29" s="9"/>
      <c r="H29" s="9"/>
      <c r="I29" s="9"/>
    </row>
    <row r="30" spans="1:11" x14ac:dyDescent="0.25">
      <c r="A30" s="8">
        <v>46050</v>
      </c>
      <c r="B30" s="9">
        <v>143</v>
      </c>
      <c r="C30" s="9">
        <f>IF(Data!I31-4&gt;0,Data!I31-4,0)+C29</f>
        <v>0</v>
      </c>
      <c r="D30" s="9">
        <f>IF(Data!I31&gt;0,Data!I31,0)+D29</f>
        <v>0</v>
      </c>
      <c r="E30" s="9"/>
      <c r="F30" s="9"/>
      <c r="G30" s="9"/>
      <c r="H30" s="9"/>
      <c r="I30" s="9"/>
    </row>
    <row r="31" spans="1:11" x14ac:dyDescent="0.25">
      <c r="A31" s="8">
        <v>46051</v>
      </c>
      <c r="B31" s="9">
        <v>143</v>
      </c>
      <c r="C31" s="9">
        <f>IF(Data!I32-4&gt;0,Data!I32-4,0)+C30</f>
        <v>0</v>
      </c>
      <c r="D31" s="9">
        <f>IF(Data!I32&gt;0,Data!I32,0)+D30</f>
        <v>0</v>
      </c>
      <c r="E31" s="9"/>
      <c r="F31" s="9"/>
      <c r="G31" s="9"/>
      <c r="H31" s="9"/>
      <c r="I31" s="9"/>
    </row>
    <row r="32" spans="1:11" x14ac:dyDescent="0.25">
      <c r="A32" s="8">
        <v>46052</v>
      </c>
      <c r="B32" s="9">
        <v>143</v>
      </c>
      <c r="C32" s="9">
        <f>IF(Data!I33-4&gt;0,Data!I33-4,0)+C31</f>
        <v>0</v>
      </c>
      <c r="D32" s="9">
        <f>IF(Data!I33&gt;0,Data!I33,0)+D31</f>
        <v>0</v>
      </c>
      <c r="E32" s="9"/>
      <c r="F32" s="9"/>
      <c r="G32" s="9"/>
      <c r="H32" s="9"/>
      <c r="I32" s="9"/>
    </row>
    <row r="33" spans="1:9" x14ac:dyDescent="0.25">
      <c r="A33" s="8">
        <v>46053</v>
      </c>
      <c r="B33" s="9">
        <v>143</v>
      </c>
      <c r="C33" s="9">
        <f>IF(Data!I34-4&gt;0,Data!I34-4,0)+C32</f>
        <v>0</v>
      </c>
      <c r="D33" s="9">
        <f>IF(Data!I34&gt;0,Data!I34,0)+D32</f>
        <v>0</v>
      </c>
      <c r="E33" s="9"/>
      <c r="F33" s="9"/>
      <c r="G33" s="9"/>
      <c r="H33" s="9"/>
      <c r="I33" s="9"/>
    </row>
    <row r="34" spans="1:9" x14ac:dyDescent="0.25">
      <c r="A34" s="8">
        <v>46054</v>
      </c>
      <c r="B34" s="9">
        <v>143</v>
      </c>
      <c r="C34" s="9">
        <f>IF(Data!I35-4&gt;0,Data!I35-4,0)+C33</f>
        <v>0</v>
      </c>
      <c r="D34" s="9">
        <f>IF(Data!I35&gt;0,Data!I35,0)+D33</f>
        <v>0</v>
      </c>
      <c r="E34" s="9"/>
      <c r="F34" s="9"/>
      <c r="G34" s="9"/>
      <c r="H34" s="9"/>
      <c r="I34" s="9"/>
    </row>
    <row r="35" spans="1:9" x14ac:dyDescent="0.25">
      <c r="A35" s="8">
        <v>46055</v>
      </c>
      <c r="B35" s="9">
        <v>143</v>
      </c>
      <c r="C35" s="9">
        <f>IF(Data!I36-4&gt;0,Data!I36-4,0)+C34</f>
        <v>0</v>
      </c>
      <c r="D35" s="9">
        <f>IF(Data!I36&gt;0,Data!I36,0)+D34</f>
        <v>0</v>
      </c>
      <c r="E35" s="9"/>
      <c r="F35" s="9"/>
      <c r="G35" s="9"/>
      <c r="H35" s="9"/>
      <c r="I35" s="9"/>
    </row>
    <row r="36" spans="1:9" x14ac:dyDescent="0.25">
      <c r="A36" s="8">
        <v>46056</v>
      </c>
      <c r="B36" s="9">
        <v>143</v>
      </c>
      <c r="C36" s="9">
        <f>IF(Data!I37-4&gt;0,Data!I37-4,0)+C35</f>
        <v>0</v>
      </c>
      <c r="D36" s="9">
        <f>IF(Data!I37&gt;0,Data!I37,0)+D35</f>
        <v>0</v>
      </c>
      <c r="E36" s="9"/>
      <c r="F36" s="9"/>
      <c r="G36" s="9"/>
      <c r="H36" s="9"/>
      <c r="I36" s="9"/>
    </row>
    <row r="37" spans="1:9" x14ac:dyDescent="0.25">
      <c r="A37" s="8">
        <v>46057</v>
      </c>
      <c r="B37" s="9">
        <v>143</v>
      </c>
      <c r="C37" s="9">
        <f>IF(Data!I38-4&gt;0,Data!I38-4,0)+C36</f>
        <v>0</v>
      </c>
      <c r="D37" s="9">
        <f>IF(Data!I38&gt;0,Data!I38,0)+D36</f>
        <v>0</v>
      </c>
      <c r="E37" s="9"/>
      <c r="F37" s="9"/>
      <c r="G37" s="9"/>
      <c r="H37" s="9"/>
      <c r="I37" s="9"/>
    </row>
    <row r="38" spans="1:9" x14ac:dyDescent="0.25">
      <c r="A38" s="8">
        <v>46058</v>
      </c>
      <c r="B38" s="9">
        <v>143</v>
      </c>
      <c r="C38" s="9">
        <f>IF(Data!I39-4&gt;0,Data!I39-4,0)+C37</f>
        <v>0</v>
      </c>
      <c r="D38" s="9">
        <f>IF(Data!I39&gt;0,Data!I39,0)+D37</f>
        <v>0</v>
      </c>
      <c r="E38" s="9"/>
      <c r="F38" s="9"/>
      <c r="G38" s="9"/>
      <c r="H38" s="9"/>
      <c r="I38" s="9"/>
    </row>
    <row r="39" spans="1:9" x14ac:dyDescent="0.25">
      <c r="A39" s="8">
        <v>46059</v>
      </c>
      <c r="B39" s="9">
        <v>143</v>
      </c>
      <c r="C39" s="9">
        <f>IF(Data!I40-4&gt;0,Data!I40-4,0)+C38</f>
        <v>0</v>
      </c>
      <c r="D39" s="9">
        <f>IF(Data!I40&gt;0,Data!I40,0)+D38</f>
        <v>0</v>
      </c>
      <c r="E39" s="9"/>
      <c r="F39" s="9"/>
      <c r="G39" s="9"/>
      <c r="H39" s="9"/>
      <c r="I39" s="9"/>
    </row>
    <row r="40" spans="1:9" x14ac:dyDescent="0.25">
      <c r="A40" s="8">
        <v>46060</v>
      </c>
      <c r="B40" s="9">
        <v>143</v>
      </c>
      <c r="C40" s="9">
        <f>IF(Data!I41-4&gt;0,Data!I41-4,0)+C39</f>
        <v>0</v>
      </c>
      <c r="D40" s="9">
        <f>IF(Data!I41&gt;0,Data!I41,0)+D39</f>
        <v>0</v>
      </c>
      <c r="E40" s="9"/>
      <c r="F40" s="9"/>
      <c r="G40" s="9"/>
      <c r="H40" s="9"/>
      <c r="I40" s="9"/>
    </row>
    <row r="41" spans="1:9" x14ac:dyDescent="0.25">
      <c r="A41" s="8">
        <v>46061</v>
      </c>
      <c r="B41" s="9">
        <v>143</v>
      </c>
      <c r="C41" s="9">
        <f>IF(Data!I42-4&gt;0,Data!I42-4,0)+C40</f>
        <v>0</v>
      </c>
      <c r="D41" s="9">
        <f>IF(Data!I42&gt;0,Data!I42,0)+D40</f>
        <v>0</v>
      </c>
      <c r="E41" s="9"/>
      <c r="F41" s="9"/>
      <c r="G41" s="9"/>
      <c r="H41" s="9"/>
      <c r="I41" s="9"/>
    </row>
    <row r="42" spans="1:9" x14ac:dyDescent="0.25">
      <c r="A42" s="8">
        <v>46062</v>
      </c>
      <c r="B42" s="9">
        <v>143</v>
      </c>
      <c r="C42" s="9">
        <f>IF(Data!I43-4&gt;0,Data!I43-4,0)+C41</f>
        <v>0</v>
      </c>
      <c r="D42" s="9">
        <f>IF(Data!I43&gt;0,Data!I43,0)+D41</f>
        <v>0</v>
      </c>
      <c r="E42" s="9"/>
      <c r="F42" s="9"/>
      <c r="G42" s="9"/>
      <c r="H42" s="9"/>
      <c r="I42" s="9"/>
    </row>
    <row r="43" spans="1:9" x14ac:dyDescent="0.25">
      <c r="A43" s="8">
        <v>46063</v>
      </c>
      <c r="B43" s="9">
        <v>143</v>
      </c>
      <c r="C43" s="9">
        <f>IF(Data!I44-4&gt;0,Data!I44-4,0)+C42</f>
        <v>0</v>
      </c>
      <c r="D43" s="9">
        <f>IF(Data!I44&gt;0,Data!I44,0)+D42</f>
        <v>0</v>
      </c>
      <c r="E43" s="9"/>
      <c r="F43" s="9"/>
      <c r="G43" s="9"/>
      <c r="H43" s="9"/>
      <c r="I43" s="9"/>
    </row>
    <row r="44" spans="1:9" x14ac:dyDescent="0.25">
      <c r="A44" s="8">
        <v>46064</v>
      </c>
      <c r="B44" s="9">
        <v>143</v>
      </c>
      <c r="C44" s="9">
        <f>IF(Data!I45-4&gt;0,Data!I45-4,0)+C43</f>
        <v>0</v>
      </c>
      <c r="D44" s="9">
        <f>IF(Data!I45&gt;0,Data!I45,0)+D43</f>
        <v>0</v>
      </c>
      <c r="E44" s="9"/>
      <c r="F44" s="9"/>
      <c r="G44" s="9"/>
      <c r="H44" s="9"/>
      <c r="I44" s="9"/>
    </row>
    <row r="45" spans="1:9" x14ac:dyDescent="0.25">
      <c r="A45" s="8">
        <v>46065</v>
      </c>
      <c r="B45" s="9">
        <v>143</v>
      </c>
      <c r="C45" s="9">
        <f>IF(Data!I46-4&gt;0,Data!I46-4,0)+C44</f>
        <v>0</v>
      </c>
      <c r="D45" s="9">
        <f>IF(Data!I46&gt;0,Data!I46,0)+D44</f>
        <v>0</v>
      </c>
      <c r="E45" s="9"/>
      <c r="F45" s="9"/>
      <c r="G45" s="9"/>
      <c r="H45" s="9"/>
      <c r="I45" s="9"/>
    </row>
    <row r="46" spans="1:9" x14ac:dyDescent="0.25">
      <c r="A46" s="8">
        <v>46066</v>
      </c>
      <c r="B46" s="9">
        <v>143</v>
      </c>
      <c r="C46" s="9">
        <f>IF(Data!I47-4&gt;0,Data!I47-4,0)+C45</f>
        <v>0</v>
      </c>
      <c r="D46" s="9">
        <f>IF(Data!I47&gt;0,Data!I47,0)+D45</f>
        <v>0</v>
      </c>
      <c r="E46" s="9"/>
      <c r="F46" s="9"/>
      <c r="G46" s="9"/>
      <c r="H46" s="9"/>
      <c r="I46" s="9"/>
    </row>
    <row r="47" spans="1:9" x14ac:dyDescent="0.25">
      <c r="A47" s="8">
        <v>46067</v>
      </c>
      <c r="B47" s="9">
        <v>143</v>
      </c>
      <c r="C47" s="9">
        <f>IF(Data!I48-4&gt;0,Data!I48-4,0)+C46</f>
        <v>0</v>
      </c>
      <c r="D47" s="9">
        <f>IF(Data!I48&gt;0,Data!I48,0)+D46</f>
        <v>0</v>
      </c>
      <c r="E47" s="9"/>
      <c r="F47" s="9"/>
      <c r="G47" s="9"/>
      <c r="H47" s="9"/>
      <c r="I47" s="9"/>
    </row>
    <row r="48" spans="1:9" x14ac:dyDescent="0.25">
      <c r="A48" s="8">
        <v>46068</v>
      </c>
      <c r="B48" s="9">
        <v>143</v>
      </c>
      <c r="C48" s="9">
        <f>IF(Data!I49-4&gt;0,Data!I49-4,0)+C47</f>
        <v>0</v>
      </c>
      <c r="D48" s="9">
        <f>IF(Data!I49&gt;0,Data!I49,0)+D47</f>
        <v>0</v>
      </c>
      <c r="E48" s="9"/>
      <c r="F48" s="9"/>
      <c r="G48" s="9"/>
      <c r="H48" s="9"/>
      <c r="I48" s="9"/>
    </row>
    <row r="49" spans="1:9" x14ac:dyDescent="0.25">
      <c r="A49" s="8">
        <v>46069</v>
      </c>
      <c r="B49" s="9">
        <v>143</v>
      </c>
      <c r="C49" s="9">
        <f>IF(Data!I50-4&gt;0,Data!I50-4,0)+C48</f>
        <v>0</v>
      </c>
      <c r="D49" s="9">
        <f>IF(Data!I50&gt;0,Data!I50,0)+D48</f>
        <v>0</v>
      </c>
      <c r="E49" s="9"/>
      <c r="F49" s="9"/>
      <c r="G49" s="9"/>
      <c r="H49" s="9"/>
      <c r="I49" s="9"/>
    </row>
    <row r="50" spans="1:9" x14ac:dyDescent="0.25">
      <c r="A50" s="8">
        <v>46070</v>
      </c>
      <c r="B50" s="9">
        <v>143</v>
      </c>
      <c r="C50" s="9">
        <f>IF(Data!I51-4&gt;0,Data!I51-4,0)+C49</f>
        <v>0</v>
      </c>
      <c r="D50" s="9">
        <f>IF(Data!I51&gt;0,Data!I51,0)+D49</f>
        <v>0</v>
      </c>
      <c r="E50" s="9"/>
      <c r="F50" s="9"/>
      <c r="G50" s="9"/>
      <c r="H50" s="9"/>
      <c r="I50" s="9"/>
    </row>
    <row r="51" spans="1:9" x14ac:dyDescent="0.25">
      <c r="A51" s="8">
        <v>46071</v>
      </c>
      <c r="B51" s="9">
        <v>143</v>
      </c>
      <c r="C51" s="9">
        <f>IF(Data!I52-4&gt;0,Data!I52-4,0)+C50</f>
        <v>0</v>
      </c>
      <c r="D51" s="9">
        <f>IF(Data!I52&gt;0,Data!I52,0)+D50</f>
        <v>0</v>
      </c>
      <c r="E51" s="9"/>
      <c r="F51" s="9"/>
      <c r="G51" s="9"/>
      <c r="H51" s="9"/>
      <c r="I51" s="9"/>
    </row>
    <row r="52" spans="1:9" x14ac:dyDescent="0.25">
      <c r="A52" s="8">
        <v>46072</v>
      </c>
      <c r="B52" s="9">
        <v>143</v>
      </c>
      <c r="C52" s="9">
        <f>IF(Data!I53-4&gt;0,Data!I53-4,0)+C51</f>
        <v>0</v>
      </c>
      <c r="D52" s="9">
        <f>IF(Data!I53&gt;0,Data!I53,0)+D51</f>
        <v>0</v>
      </c>
      <c r="E52" s="9"/>
      <c r="F52" s="9"/>
      <c r="G52" s="9"/>
      <c r="H52" s="9"/>
      <c r="I52" s="9"/>
    </row>
    <row r="53" spans="1:9" x14ac:dyDescent="0.25">
      <c r="A53" s="8">
        <v>46073</v>
      </c>
      <c r="B53" s="9">
        <v>143</v>
      </c>
      <c r="C53" s="9">
        <f>IF(Data!I54-4&gt;0,Data!I54-4,0)+C52</f>
        <v>0</v>
      </c>
      <c r="D53" s="9">
        <f>IF(Data!I54&gt;0,Data!I54,0)+D52</f>
        <v>0</v>
      </c>
      <c r="E53" s="9"/>
      <c r="F53" s="9"/>
      <c r="G53" s="9"/>
      <c r="H53" s="9"/>
      <c r="I53" s="9"/>
    </row>
    <row r="54" spans="1:9" x14ac:dyDescent="0.25">
      <c r="A54" s="8">
        <v>46074</v>
      </c>
      <c r="B54" s="9">
        <v>143</v>
      </c>
      <c r="C54" s="9">
        <f>IF(Data!I55-4&gt;0,Data!I55-4,0)+C53</f>
        <v>0</v>
      </c>
      <c r="D54" s="9">
        <f>IF(Data!I55&gt;0,Data!I55,0)+D53</f>
        <v>0</v>
      </c>
      <c r="E54" s="9"/>
      <c r="F54" s="9"/>
      <c r="G54" s="9"/>
      <c r="H54" s="9"/>
      <c r="I54" s="9"/>
    </row>
    <row r="55" spans="1:9" x14ac:dyDescent="0.25">
      <c r="A55" s="8">
        <v>46075</v>
      </c>
      <c r="B55" s="9">
        <v>143</v>
      </c>
      <c r="C55" s="9">
        <f>IF(Data!I56-4&gt;0,Data!I56-4,0)+C54</f>
        <v>0</v>
      </c>
      <c r="D55" s="9">
        <f>IF(Data!I56&gt;0,Data!I56,0)+D54</f>
        <v>0</v>
      </c>
      <c r="E55" s="9"/>
      <c r="F55" s="9"/>
      <c r="G55" s="9"/>
      <c r="H55" s="9"/>
      <c r="I55" s="9"/>
    </row>
    <row r="56" spans="1:9" x14ac:dyDescent="0.25">
      <c r="A56" s="8">
        <v>46076</v>
      </c>
      <c r="B56" s="9">
        <v>143</v>
      </c>
      <c r="C56" s="9">
        <f>IF(Data!I57-4&gt;0,Data!I57-4,0)+C55</f>
        <v>0</v>
      </c>
      <c r="D56" s="9">
        <f>IF(Data!I57&gt;0,Data!I57,0)+D55</f>
        <v>0</v>
      </c>
      <c r="E56" s="9"/>
      <c r="F56" s="9"/>
      <c r="G56" s="9"/>
      <c r="H56" s="9"/>
      <c r="I56" s="9"/>
    </row>
    <row r="57" spans="1:9" x14ac:dyDescent="0.25">
      <c r="A57" s="8">
        <v>46077</v>
      </c>
      <c r="B57" s="9">
        <v>143</v>
      </c>
      <c r="C57" s="9">
        <f>IF(Data!I58-4&gt;0,Data!I58-4,0)+C56</f>
        <v>0</v>
      </c>
      <c r="D57" s="9">
        <f>IF(Data!I58&gt;0,Data!I58,0)+D56</f>
        <v>0</v>
      </c>
      <c r="E57" s="9"/>
      <c r="F57" s="9"/>
      <c r="G57" s="9"/>
      <c r="H57" s="9"/>
      <c r="I57" s="9"/>
    </row>
    <row r="58" spans="1:9" x14ac:dyDescent="0.25">
      <c r="A58" s="8">
        <v>46078</v>
      </c>
      <c r="B58" s="9">
        <v>143</v>
      </c>
      <c r="C58" s="9">
        <f>IF(Data!I59-4&gt;0,Data!I59-4,0)+C57</f>
        <v>0</v>
      </c>
      <c r="D58" s="9">
        <f>IF(Data!I59&gt;0,Data!I59,0)+D57</f>
        <v>0</v>
      </c>
      <c r="E58" s="9"/>
      <c r="F58" s="9"/>
      <c r="G58" s="9"/>
      <c r="H58" s="9"/>
      <c r="I58" s="9"/>
    </row>
    <row r="59" spans="1:9" x14ac:dyDescent="0.25">
      <c r="A59" s="8">
        <v>46079</v>
      </c>
      <c r="B59" s="9">
        <v>143</v>
      </c>
      <c r="C59" s="9">
        <f>IF(Data!I60-4&gt;0,Data!I60-4,0)+C58</f>
        <v>0</v>
      </c>
      <c r="D59" s="9">
        <f>IF(Data!I60&gt;0,Data!I60,0)+D58</f>
        <v>0</v>
      </c>
      <c r="E59" s="9"/>
      <c r="F59" s="9"/>
      <c r="G59" s="9"/>
      <c r="H59" s="9"/>
      <c r="I59" s="9"/>
    </row>
    <row r="60" spans="1:9" x14ac:dyDescent="0.25">
      <c r="A60" s="8">
        <v>46080</v>
      </c>
      <c r="B60" s="9">
        <v>143</v>
      </c>
      <c r="C60" s="9">
        <f>IF(Data!I61-4&gt;0,Data!I61-4,0)+C59</f>
        <v>0</v>
      </c>
      <c r="D60" s="9">
        <f>IF(Data!I61&gt;0,Data!I61,0)+D59</f>
        <v>0</v>
      </c>
      <c r="E60" s="9"/>
      <c r="F60" s="9"/>
      <c r="G60" s="9"/>
      <c r="H60" s="9"/>
      <c r="I60" s="9"/>
    </row>
    <row r="61" spans="1:9" x14ac:dyDescent="0.25">
      <c r="A61" s="8">
        <v>46081</v>
      </c>
      <c r="B61" s="9">
        <v>143</v>
      </c>
      <c r="C61" s="9">
        <f>IF(Data!I62-4&gt;0,Data!I62-4,0)+C60</f>
        <v>0</v>
      </c>
      <c r="D61" s="9">
        <f>IF(Data!I62&gt;0,Data!I62,0)+D60</f>
        <v>0</v>
      </c>
      <c r="E61" s="9"/>
      <c r="F61" s="9"/>
      <c r="G61" s="9"/>
      <c r="H61" s="9"/>
      <c r="I61" s="9"/>
    </row>
    <row r="62" spans="1:9" x14ac:dyDescent="0.25">
      <c r="A62" s="8">
        <v>46082</v>
      </c>
      <c r="B62" s="9">
        <v>143</v>
      </c>
      <c r="C62" s="9">
        <f>IF(Data!I63-4&gt;0,Data!I63-4,0)+C61</f>
        <v>0</v>
      </c>
      <c r="D62" s="9">
        <f>IF(Data!I63&gt;0,Data!I63,0)+D61</f>
        <v>0</v>
      </c>
      <c r="E62" s="9"/>
      <c r="F62" s="9"/>
      <c r="G62" s="9"/>
      <c r="H62" s="9"/>
      <c r="I62" s="9"/>
    </row>
    <row r="63" spans="1:9" x14ac:dyDescent="0.25">
      <c r="A63" s="8">
        <v>46083</v>
      </c>
      <c r="B63" s="9">
        <v>143</v>
      </c>
      <c r="C63" s="9">
        <f>IF(Data!I64-4&gt;0,Data!I64-4,0)+C62</f>
        <v>0</v>
      </c>
      <c r="D63" s="9">
        <f>IF(Data!I64&gt;0,Data!I64,0)+D62</f>
        <v>0</v>
      </c>
      <c r="E63" s="9"/>
      <c r="F63" s="9"/>
      <c r="G63" s="9"/>
      <c r="H63" s="9"/>
      <c r="I63" s="9"/>
    </row>
    <row r="64" spans="1:9" x14ac:dyDescent="0.25">
      <c r="A64" s="8">
        <v>46084</v>
      </c>
      <c r="B64" s="9">
        <v>143</v>
      </c>
      <c r="C64" s="9">
        <f>IF(Data!I65-4&gt;0,Data!I65-4,0)+C63</f>
        <v>0</v>
      </c>
      <c r="D64" s="9">
        <f>IF(Data!I65&gt;0,Data!I65,0)+D63</f>
        <v>0</v>
      </c>
      <c r="E64" s="9"/>
      <c r="F64" s="9"/>
      <c r="G64" s="9"/>
      <c r="H64" s="9"/>
      <c r="I64" s="9"/>
    </row>
    <row r="65" spans="1:9" x14ac:dyDescent="0.25">
      <c r="A65" s="8">
        <v>46085</v>
      </c>
      <c r="B65" s="9">
        <v>143</v>
      </c>
      <c r="C65" s="9">
        <f>IF(Data!I66-4&gt;0,Data!I66-4,0)+C64</f>
        <v>0</v>
      </c>
      <c r="D65" s="9">
        <f>IF(Data!I66&gt;0,Data!I66,0)+D64</f>
        <v>0</v>
      </c>
      <c r="E65" s="9"/>
      <c r="F65" s="9"/>
      <c r="G65" s="9"/>
      <c r="H65" s="9"/>
      <c r="I65" s="9"/>
    </row>
    <row r="66" spans="1:9" x14ac:dyDescent="0.25">
      <c r="A66" s="8">
        <v>46086</v>
      </c>
      <c r="B66" s="9">
        <v>143</v>
      </c>
      <c r="C66" s="9">
        <f>IF(Data!I67-4&gt;0,Data!I67-4,0)+C65</f>
        <v>0</v>
      </c>
      <c r="D66" s="9">
        <f>IF(Data!I67&gt;0,Data!I67,0)+D65</f>
        <v>0</v>
      </c>
      <c r="E66" s="9"/>
      <c r="F66" s="9"/>
      <c r="G66" s="9"/>
      <c r="H66" s="9"/>
      <c r="I66" s="9"/>
    </row>
    <row r="67" spans="1:9" x14ac:dyDescent="0.25">
      <c r="A67" s="8">
        <v>46087</v>
      </c>
      <c r="B67" s="9">
        <v>143</v>
      </c>
      <c r="C67" s="9">
        <f>IF(Data!I68-4&gt;0,Data!I68-4,0)+C66</f>
        <v>0</v>
      </c>
      <c r="D67" s="9">
        <f>IF(Data!I68&gt;0,Data!I68,0)+D66</f>
        <v>0</v>
      </c>
      <c r="E67" s="9"/>
      <c r="F67" s="9"/>
      <c r="G67" s="9"/>
      <c r="H67" s="9"/>
      <c r="I67" s="9"/>
    </row>
    <row r="68" spans="1:9" x14ac:dyDescent="0.25">
      <c r="A68" s="8">
        <v>46088</v>
      </c>
      <c r="B68" s="9">
        <v>143</v>
      </c>
      <c r="C68" s="9">
        <f>IF(Data!I69-4&gt;0,Data!I69-4,0)+C67</f>
        <v>0</v>
      </c>
      <c r="D68" s="9">
        <f>IF(Data!I69&gt;0,Data!I69,0)+D67</f>
        <v>0</v>
      </c>
      <c r="E68" s="9"/>
      <c r="F68" s="9"/>
      <c r="G68" s="9"/>
      <c r="H68" s="9"/>
      <c r="I68" s="9"/>
    </row>
    <row r="69" spans="1:9" x14ac:dyDescent="0.25">
      <c r="A69" s="8">
        <v>46089</v>
      </c>
      <c r="B69" s="9">
        <v>143</v>
      </c>
      <c r="C69" s="9">
        <f>IF(Data!I70-4&gt;0,Data!I70-4,0)+C68</f>
        <v>0</v>
      </c>
      <c r="D69" s="9">
        <f>IF(Data!I70&gt;0,Data!I70,0)+D68</f>
        <v>0</v>
      </c>
      <c r="E69" s="9"/>
      <c r="F69" s="9"/>
      <c r="G69" s="9"/>
      <c r="H69" s="9"/>
      <c r="I69" s="9"/>
    </row>
    <row r="70" spans="1:9" x14ac:dyDescent="0.25">
      <c r="A70" s="8">
        <v>46090</v>
      </c>
      <c r="B70" s="9">
        <v>143</v>
      </c>
      <c r="C70" s="9">
        <f>IF(Data!I71-4&gt;0,Data!I71-4,0)+C69</f>
        <v>0</v>
      </c>
      <c r="D70" s="9">
        <f>IF(Data!I71&gt;0,Data!I71,0)+D69</f>
        <v>0</v>
      </c>
      <c r="E70" s="9"/>
      <c r="F70" s="9"/>
      <c r="G70" s="9"/>
      <c r="H70" s="9"/>
      <c r="I70" s="9"/>
    </row>
    <row r="71" spans="1:9" x14ac:dyDescent="0.25">
      <c r="A71" s="8">
        <v>46091</v>
      </c>
      <c r="B71" s="9">
        <v>143</v>
      </c>
      <c r="C71" s="9">
        <f>IF(Data!I72-4&gt;0,Data!I72-4,0)+C70</f>
        <v>0</v>
      </c>
      <c r="D71" s="9">
        <f>IF(Data!I72&gt;0,Data!I72,0)+D70</f>
        <v>0</v>
      </c>
      <c r="E71" s="9"/>
      <c r="F71" s="9"/>
      <c r="G71" s="9"/>
      <c r="H71" s="9"/>
      <c r="I71" s="9"/>
    </row>
    <row r="72" spans="1:9" x14ac:dyDescent="0.25">
      <c r="A72" s="8">
        <v>46092</v>
      </c>
      <c r="B72" s="9">
        <v>143</v>
      </c>
      <c r="C72" s="9">
        <f>IF(Data!I73-4&gt;0,Data!I73-4,0)+C71</f>
        <v>0</v>
      </c>
      <c r="D72" s="9">
        <f>IF(Data!I73&gt;0,Data!I73,0)+D71</f>
        <v>0</v>
      </c>
      <c r="E72" s="9"/>
      <c r="F72" s="9"/>
      <c r="G72" s="9"/>
      <c r="H72" s="9"/>
      <c r="I72" s="9"/>
    </row>
    <row r="73" spans="1:9" x14ac:dyDescent="0.25">
      <c r="A73" s="8">
        <v>46093</v>
      </c>
      <c r="B73" s="9">
        <v>143</v>
      </c>
      <c r="C73" s="9">
        <f>IF(Data!I74-4&gt;0,Data!I74-4,0)+C72</f>
        <v>0</v>
      </c>
      <c r="D73" s="9">
        <f>IF(Data!I74&gt;0,Data!I74,0)+D72</f>
        <v>0</v>
      </c>
      <c r="E73" s="9"/>
      <c r="F73" s="9"/>
      <c r="G73" s="9"/>
      <c r="H73" s="9"/>
      <c r="I73" s="9"/>
    </row>
    <row r="74" spans="1:9" x14ac:dyDescent="0.25">
      <c r="A74" s="8">
        <v>46094</v>
      </c>
      <c r="B74" s="9">
        <v>143</v>
      </c>
      <c r="C74" s="9">
        <f>IF(Data!I75-4&gt;0,Data!I75-4,0)+C73</f>
        <v>0</v>
      </c>
      <c r="D74" s="9">
        <f>IF(Data!I75&gt;0,Data!I75,0)+D73</f>
        <v>0</v>
      </c>
      <c r="E74" s="9"/>
      <c r="F74" s="9"/>
      <c r="G74" s="9"/>
      <c r="H74" s="9"/>
      <c r="I74" s="9"/>
    </row>
    <row r="75" spans="1:9" x14ac:dyDescent="0.25">
      <c r="A75" s="8">
        <v>46095</v>
      </c>
      <c r="B75" s="9">
        <v>143</v>
      </c>
      <c r="C75" s="9">
        <f>IF(Data!I76-4&gt;0,Data!I76-4,0)+C74</f>
        <v>0</v>
      </c>
      <c r="D75" s="9">
        <f>IF(Data!I76&gt;0,Data!I76,0)+D74</f>
        <v>0</v>
      </c>
      <c r="E75" s="9"/>
      <c r="F75" s="9"/>
      <c r="G75" s="9"/>
      <c r="H75" s="9"/>
      <c r="I75" s="9"/>
    </row>
    <row r="76" spans="1:9" x14ac:dyDescent="0.25">
      <c r="A76" s="8">
        <v>46096</v>
      </c>
      <c r="B76" s="9">
        <v>143</v>
      </c>
      <c r="C76" s="9">
        <f>IF(Data!I77-4&gt;0,Data!I77-4,0)+C75</f>
        <v>0</v>
      </c>
      <c r="D76" s="9">
        <f>IF(Data!I77&gt;0,Data!I77,0)+D75</f>
        <v>0</v>
      </c>
      <c r="E76" s="9"/>
      <c r="F76" s="9"/>
      <c r="G76" s="9"/>
      <c r="H76" s="9"/>
      <c r="I76" s="9"/>
    </row>
    <row r="77" spans="1:9" x14ac:dyDescent="0.25">
      <c r="A77" s="8">
        <v>46097</v>
      </c>
      <c r="B77" s="9">
        <v>143</v>
      </c>
      <c r="C77" s="9">
        <f>IF(Data!I78-4&gt;0,Data!I78-4,0)+C76</f>
        <v>0</v>
      </c>
      <c r="D77" s="9">
        <f>IF(Data!I78&gt;0,Data!I78,0)+D76</f>
        <v>0</v>
      </c>
      <c r="E77" s="9"/>
      <c r="F77" s="9"/>
      <c r="G77" s="9"/>
      <c r="H77" s="9"/>
      <c r="I77" s="9"/>
    </row>
    <row r="78" spans="1:9" x14ac:dyDescent="0.25">
      <c r="A78" s="8">
        <v>46098</v>
      </c>
      <c r="B78" s="9">
        <v>143</v>
      </c>
      <c r="C78" s="9">
        <f>IF(Data!I79-4&gt;0,Data!I79-4,0)+C77</f>
        <v>0</v>
      </c>
      <c r="D78" s="9">
        <f>IF(Data!I79&gt;0,Data!I79,0)+D77</f>
        <v>0</v>
      </c>
      <c r="E78" s="9"/>
      <c r="F78" s="9"/>
      <c r="G78" s="9"/>
      <c r="H78" s="9"/>
      <c r="I78" s="9"/>
    </row>
    <row r="79" spans="1:9" x14ac:dyDescent="0.25">
      <c r="A79" s="8">
        <v>46099</v>
      </c>
      <c r="B79" s="9">
        <v>143</v>
      </c>
      <c r="C79" s="9">
        <f>IF(Data!I80-4&gt;0,Data!I80-4,0)+C78</f>
        <v>0</v>
      </c>
      <c r="D79" s="9">
        <f>IF(Data!I80&gt;0,Data!I80,0)+D78</f>
        <v>0</v>
      </c>
      <c r="E79" s="9"/>
      <c r="F79" s="9"/>
      <c r="G79" s="9"/>
      <c r="H79" s="9"/>
      <c r="I79" s="9"/>
    </row>
    <row r="80" spans="1:9" x14ac:dyDescent="0.25">
      <c r="A80" s="8">
        <v>46100</v>
      </c>
      <c r="B80" s="9">
        <v>143</v>
      </c>
      <c r="C80" s="9">
        <f>IF(Data!I81-4&gt;0,Data!I81-4,0)+C79</f>
        <v>0</v>
      </c>
      <c r="D80" s="9">
        <f>IF(Data!I81&gt;0,Data!I81,0)+D79</f>
        <v>0</v>
      </c>
      <c r="E80" s="9"/>
      <c r="F80" s="9"/>
      <c r="G80" s="9"/>
      <c r="H80" s="9"/>
      <c r="I80" s="9"/>
    </row>
    <row r="81" spans="1:9" x14ac:dyDescent="0.25">
      <c r="A81" s="8">
        <v>46101</v>
      </c>
      <c r="B81" s="9">
        <v>143</v>
      </c>
      <c r="C81" s="9">
        <f>IF(Data!I82-4&gt;0,Data!I82-4,0)+C80</f>
        <v>0</v>
      </c>
      <c r="D81" s="9">
        <f>IF(Data!I82&gt;0,Data!I82,0)+D80</f>
        <v>0</v>
      </c>
      <c r="E81" s="9"/>
      <c r="F81" s="9"/>
      <c r="G81" s="9"/>
      <c r="H81" s="9"/>
      <c r="I81" s="9"/>
    </row>
    <row r="82" spans="1:9" x14ac:dyDescent="0.25">
      <c r="A82" s="8">
        <v>46102</v>
      </c>
      <c r="B82" s="9">
        <v>143</v>
      </c>
      <c r="C82" s="9">
        <f>IF(Data!I83-4&gt;0,Data!I83-4,0)+C81</f>
        <v>0</v>
      </c>
      <c r="D82" s="9">
        <f>IF(Data!I83&gt;0,Data!I83,0)+D81</f>
        <v>0</v>
      </c>
      <c r="E82" s="9"/>
      <c r="F82" s="9"/>
      <c r="G82" s="9"/>
      <c r="H82" s="9"/>
      <c r="I82" s="9"/>
    </row>
    <row r="83" spans="1:9" x14ac:dyDescent="0.25">
      <c r="A83" s="8">
        <v>46103</v>
      </c>
      <c r="B83" s="9">
        <v>143</v>
      </c>
      <c r="C83" s="9">
        <f>IF(Data!I84-4&gt;0,Data!I84-4,0)+C82</f>
        <v>0</v>
      </c>
      <c r="D83" s="9">
        <f>IF(Data!I84&gt;0,Data!I84,0)+D82</f>
        <v>0</v>
      </c>
      <c r="E83" s="9"/>
      <c r="F83" s="9"/>
      <c r="G83" s="9"/>
      <c r="H83" s="9"/>
      <c r="I83" s="9"/>
    </row>
    <row r="84" spans="1:9" x14ac:dyDescent="0.25">
      <c r="A84" s="8">
        <v>46104</v>
      </c>
      <c r="B84" s="9">
        <v>143</v>
      </c>
      <c r="C84" s="9">
        <f>IF(Data!I85-4&gt;0,Data!I85-4,0)+C83</f>
        <v>0</v>
      </c>
      <c r="D84" s="9">
        <f>IF(Data!I85&gt;0,Data!I85,0)+D83</f>
        <v>0</v>
      </c>
      <c r="E84" s="9"/>
      <c r="F84" s="9"/>
      <c r="G84" s="9"/>
      <c r="H84" s="9"/>
      <c r="I84" s="9"/>
    </row>
    <row r="85" spans="1:9" x14ac:dyDescent="0.25">
      <c r="A85" s="8">
        <v>46105</v>
      </c>
      <c r="B85" s="9">
        <v>143</v>
      </c>
      <c r="C85" s="9">
        <f>IF(Data!I86-4&gt;0,Data!I86-4,0)+C84</f>
        <v>0</v>
      </c>
      <c r="D85" s="9">
        <f>IF(Data!I86&gt;0,Data!I86,0)+D84</f>
        <v>0</v>
      </c>
      <c r="E85" s="9"/>
      <c r="F85" s="9"/>
      <c r="G85" s="9"/>
      <c r="H85" s="9"/>
      <c r="I85" s="9"/>
    </row>
    <row r="86" spans="1:9" x14ac:dyDescent="0.25">
      <c r="A86" s="8">
        <v>46106</v>
      </c>
      <c r="B86" s="9">
        <v>143</v>
      </c>
      <c r="C86" s="9">
        <f>IF(Data!I87-4&gt;0,Data!I87-4,0)+C85</f>
        <v>0</v>
      </c>
      <c r="D86" s="9">
        <f>IF(Data!I87&gt;0,Data!I87,0)+D85</f>
        <v>0</v>
      </c>
      <c r="E86" s="9"/>
      <c r="F86" s="9"/>
      <c r="G86" s="9"/>
      <c r="H86" s="9"/>
      <c r="I86" s="9"/>
    </row>
    <row r="87" spans="1:9" x14ac:dyDescent="0.25">
      <c r="A87" s="8">
        <v>46107</v>
      </c>
      <c r="B87" s="9">
        <v>143</v>
      </c>
      <c r="C87" s="9">
        <f>IF(Data!I88-4&gt;0,Data!I88-4,0)+C86</f>
        <v>0</v>
      </c>
      <c r="D87" s="9">
        <f>IF(Data!I88&gt;0,Data!I88,0)+D86</f>
        <v>0</v>
      </c>
      <c r="E87" s="9"/>
      <c r="F87" s="9"/>
      <c r="G87" s="9"/>
      <c r="H87" s="9"/>
      <c r="I87" s="9"/>
    </row>
    <row r="88" spans="1:9" x14ac:dyDescent="0.25">
      <c r="A88" s="8">
        <v>46108</v>
      </c>
      <c r="B88" s="9">
        <v>143</v>
      </c>
      <c r="C88" s="9">
        <f>IF(Data!I89-4&gt;0,Data!I89-4,0)+C87</f>
        <v>0</v>
      </c>
      <c r="D88" s="9">
        <f>IF(Data!I89&gt;0,Data!I89,0)+D87</f>
        <v>0</v>
      </c>
      <c r="E88" s="9"/>
      <c r="F88" s="9"/>
      <c r="G88" s="9"/>
      <c r="H88" s="9"/>
      <c r="I88" s="9"/>
    </row>
    <row r="89" spans="1:9" x14ac:dyDescent="0.25">
      <c r="A89" s="8">
        <v>46109</v>
      </c>
      <c r="B89" s="9">
        <v>143</v>
      </c>
      <c r="C89" s="9">
        <f>IF(Data!I90-4&gt;0,Data!I90-4,0)+C88</f>
        <v>0</v>
      </c>
      <c r="D89" s="9">
        <f>IF(Data!I90&gt;0,Data!I90,0)+D88</f>
        <v>0</v>
      </c>
      <c r="E89" s="9"/>
      <c r="F89" s="9"/>
      <c r="G89" s="9"/>
      <c r="H89" s="9"/>
      <c r="I89" s="9"/>
    </row>
    <row r="90" spans="1:9" x14ac:dyDescent="0.25">
      <c r="A90" s="8">
        <v>46110</v>
      </c>
      <c r="B90" s="9">
        <v>143</v>
      </c>
      <c r="C90" s="9">
        <f>IF(Data!I91-4&gt;0,Data!I91-4,0)+C89</f>
        <v>0</v>
      </c>
      <c r="D90" s="9">
        <f>IF(Data!I91&gt;0,Data!I91,0)+D89</f>
        <v>0</v>
      </c>
      <c r="E90" s="9"/>
      <c r="F90" s="9"/>
      <c r="G90" s="9"/>
      <c r="H90" s="9"/>
      <c r="I90" s="9"/>
    </row>
    <row r="91" spans="1:9" x14ac:dyDescent="0.25">
      <c r="A91" s="8">
        <v>46111</v>
      </c>
      <c r="B91" s="9">
        <v>143</v>
      </c>
      <c r="C91" s="9">
        <f>IF(Data!I92-4&gt;0,Data!I92-4,0)+C90</f>
        <v>0</v>
      </c>
      <c r="D91" s="9">
        <f>IF(Data!I92&gt;0,Data!I92,0)+D90</f>
        <v>0</v>
      </c>
      <c r="E91" s="9"/>
      <c r="F91" s="9"/>
      <c r="G91" s="9"/>
      <c r="H91" s="9"/>
      <c r="I91" s="9"/>
    </row>
    <row r="92" spans="1:9" x14ac:dyDescent="0.25">
      <c r="A92" s="8">
        <v>46112</v>
      </c>
      <c r="B92" s="9">
        <v>143</v>
      </c>
      <c r="C92" s="9">
        <f>IF(Data!I93-4&gt;0,Data!I93-4,0)+C91</f>
        <v>0</v>
      </c>
      <c r="D92" s="9">
        <f>IF(Data!I93&gt;0,Data!I93,0)+D91</f>
        <v>0</v>
      </c>
      <c r="E92" s="9"/>
      <c r="F92" s="9"/>
      <c r="G92" s="9"/>
      <c r="H92" s="9"/>
      <c r="I92" s="9"/>
    </row>
  </sheetData>
  <pageMargins left="0.7" right="0.7" top="0.7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38D47-F44F-4E66-9A3F-893C81272B83}">
  <dimension ref="A1:AA92"/>
  <sheetViews>
    <sheetView topLeftCell="A2" zoomScale="80" zoomScaleNormal="80" workbookViewId="0">
      <selection activeCell="H25" sqref="A24:H25"/>
    </sheetView>
  </sheetViews>
  <sheetFormatPr baseColWidth="10" defaultColWidth="11.42578125" defaultRowHeight="15" x14ac:dyDescent="0.25"/>
  <cols>
    <col min="1" max="1" width="12.5703125" customWidth="1"/>
    <col min="10" max="10" width="12.28515625" bestFit="1" customWidth="1"/>
    <col min="11" max="11" width="12.28515625" customWidth="1"/>
    <col min="12" max="12" width="11.42578125" hidden="1" customWidth="1"/>
    <col min="20" max="20" width="11.28515625" hidden="1" customWidth="1"/>
    <col min="21" max="21" width="13.140625" bestFit="1" customWidth="1"/>
  </cols>
  <sheetData>
    <row r="1" spans="10:27" ht="30" x14ac:dyDescent="0.25">
      <c r="J1" s="7" t="s">
        <v>1</v>
      </c>
      <c r="K1" s="7"/>
      <c r="L1" s="7">
        <f>Data!B3</f>
        <v>0</v>
      </c>
      <c r="M1" s="7">
        <f>Data!C3</f>
        <v>0</v>
      </c>
      <c r="N1" s="7">
        <f>Data!D3</f>
        <v>0</v>
      </c>
      <c r="O1" s="7">
        <f>Data!E3</f>
        <v>0</v>
      </c>
      <c r="P1" s="7">
        <f>Data!F3</f>
        <v>0</v>
      </c>
      <c r="Q1" s="7">
        <f>Data!G3</f>
        <v>0</v>
      </c>
      <c r="R1" s="7">
        <f>Data!H3</f>
        <v>0</v>
      </c>
      <c r="S1" s="7">
        <f>Data!I3</f>
        <v>0</v>
      </c>
      <c r="T1" s="12">
        <f>L1</f>
        <v>0</v>
      </c>
      <c r="U1" s="12">
        <f t="shared" ref="U1:AA2" si="0">M1</f>
        <v>0</v>
      </c>
      <c r="V1" s="12">
        <f t="shared" si="0"/>
        <v>0</v>
      </c>
      <c r="W1" s="12">
        <f t="shared" si="0"/>
        <v>0</v>
      </c>
      <c r="X1" s="12">
        <f t="shared" si="0"/>
        <v>0</v>
      </c>
      <c r="Y1" s="12">
        <f t="shared" si="0"/>
        <v>0</v>
      </c>
      <c r="Z1" s="12">
        <f t="shared" si="0"/>
        <v>0</v>
      </c>
      <c r="AA1" s="12">
        <f t="shared" si="0"/>
        <v>0</v>
      </c>
    </row>
    <row r="2" spans="10:27" x14ac:dyDescent="0.25">
      <c r="J2" s="7" t="s">
        <v>0</v>
      </c>
      <c r="K2" s="7" t="s">
        <v>3</v>
      </c>
      <c r="L2" s="7" t="e">
        <f ca="1">_xlfn.CONCAT(Data!B1," (",Data!B2,")")</f>
        <v>#NAME?</v>
      </c>
      <c r="M2" s="7" t="e">
        <f ca="1">_xlfn.CONCAT(Data!C1," (",Data!C2,")")</f>
        <v>#NAME?</v>
      </c>
      <c r="N2" s="7" t="e">
        <f ca="1">_xlfn.CONCAT(Data!D1," (",Data!D2,")")</f>
        <v>#NAME?</v>
      </c>
      <c r="O2" s="7" t="e">
        <f ca="1">_xlfn.CONCAT(Data!E1," (",Data!E2,")")</f>
        <v>#NAME?</v>
      </c>
      <c r="P2" s="7" t="e">
        <f ca="1">_xlfn.CONCAT(Data!F1," (",Data!F2,")")</f>
        <v>#NAME?</v>
      </c>
      <c r="Q2" s="7" t="e">
        <f ca="1">_xlfn.CONCAT(Data!G1," (",Data!G2,")")</f>
        <v>#NAME?</v>
      </c>
      <c r="R2" s="7" t="e">
        <f ca="1">_xlfn.CONCAT(Data!H1," (",Data!H2,")")</f>
        <v>#NAME?</v>
      </c>
      <c r="S2" s="7" t="e">
        <f ca="1">_xlfn.CONCAT(Data!I1," (",Data!I2,")")</f>
        <v>#NAME?</v>
      </c>
      <c r="T2" s="12" t="e">
        <f ca="1">L2</f>
        <v>#NAME?</v>
      </c>
      <c r="U2" s="12" t="e">
        <f t="shared" ca="1" si="0"/>
        <v>#NAME?</v>
      </c>
      <c r="V2" s="12" t="e">
        <f t="shared" ca="1" si="0"/>
        <v>#NAME?</v>
      </c>
      <c r="W2" s="12" t="e">
        <f t="shared" ca="1" si="0"/>
        <v>#NAME?</v>
      </c>
      <c r="X2" s="12" t="e">
        <f t="shared" ca="1" si="0"/>
        <v>#NAME?</v>
      </c>
      <c r="Y2" s="12" t="e">
        <f t="shared" ca="1" si="0"/>
        <v>#NAME?</v>
      </c>
      <c r="Z2" s="12" t="e">
        <f t="shared" ca="1" si="0"/>
        <v>#NAME?</v>
      </c>
      <c r="AA2" s="12" t="e">
        <f t="shared" ca="1" si="0"/>
        <v>#NAME?</v>
      </c>
    </row>
    <row r="3" spans="10:27" x14ac:dyDescent="0.25">
      <c r="J3" s="8">
        <v>46023</v>
      </c>
      <c r="K3" s="9">
        <v>143</v>
      </c>
      <c r="L3" s="9">
        <f>IF(Data!B4-4&gt;0,Data!B4-4,0)</f>
        <v>0</v>
      </c>
      <c r="M3" s="9">
        <f>IF(Data!C4-4&gt;0,Data!C4-4,0)</f>
        <v>0</v>
      </c>
      <c r="N3" s="9">
        <f>IF(Data!D4-4&gt;0,Data!D4-4,0)</f>
        <v>0</v>
      </c>
      <c r="O3" s="9">
        <f>IF(Data!E4-4&gt;0,Data!E4-4,0)</f>
        <v>0</v>
      </c>
      <c r="P3" s="9">
        <f>IF(Data!F4-4&gt;0,Data!F4-4,0)</f>
        <v>0</v>
      </c>
      <c r="Q3" s="9">
        <f>IF(Data!G4-4&gt;0,Data!G4-4,0)</f>
        <v>0</v>
      </c>
      <c r="R3" s="9">
        <f>IF(Data!H4-4&gt;0,Data!H4-4,0)</f>
        <v>0</v>
      </c>
      <c r="S3" s="9">
        <f>IF(Data!I4-4&gt;0,Data!I4-4,0)</f>
        <v>0</v>
      </c>
      <c r="T3" s="9">
        <f>IF(Data!B4&gt;0,Data!B4,0)</f>
        <v>0</v>
      </c>
      <c r="U3" s="9">
        <f>IF(Data!C4&gt;0,Data!C4,0)</f>
        <v>0</v>
      </c>
      <c r="V3" s="9">
        <f>IF(Data!D4&gt;0,Data!D4,0)</f>
        <v>0</v>
      </c>
      <c r="W3" s="9">
        <f>IF(Data!E4&gt;0,Data!E4,0)</f>
        <v>0</v>
      </c>
      <c r="X3" s="9">
        <f>IF(Data!F4&gt;0,Data!F4,0)</f>
        <v>0</v>
      </c>
      <c r="Y3" s="9">
        <f>IF(Data!G4&gt;0,Data!G4,0)</f>
        <v>0</v>
      </c>
      <c r="Z3" s="9">
        <f>IF(Data!H4&gt;0,Data!H4,0)</f>
        <v>0</v>
      </c>
      <c r="AA3" s="9">
        <f>IF(Data!I4&gt;0,Data!I4,0)</f>
        <v>0</v>
      </c>
    </row>
    <row r="4" spans="10:27" x14ac:dyDescent="0.25">
      <c r="J4" s="8">
        <v>46024</v>
      </c>
      <c r="K4" s="9">
        <v>143</v>
      </c>
      <c r="L4" s="9">
        <f>IF(Data!B5-4&gt;0,Data!B5-4,0)+L3</f>
        <v>0</v>
      </c>
      <c r="M4" s="9">
        <f>IF(Data!C5-4&gt;0,Data!C5-4,0)+M3</f>
        <v>0</v>
      </c>
      <c r="N4" s="9">
        <f>IF(Data!D5-4&gt;0,Data!D5-4,0)+N3</f>
        <v>0</v>
      </c>
      <c r="O4" s="9">
        <f>IF(Data!E5-4&gt;0,Data!E5-4,0)+O3</f>
        <v>0</v>
      </c>
      <c r="P4" s="9">
        <f>IF(Data!F5-4&gt;0,Data!F5-4,0)+P3</f>
        <v>0</v>
      </c>
      <c r="Q4" s="9">
        <f>IF(Data!G5-4&gt;0,Data!G5-4,0)+Q3</f>
        <v>0</v>
      </c>
      <c r="R4" s="9">
        <f>IF(Data!H5-4&gt;0,Data!H5-4,0)+R3</f>
        <v>0</v>
      </c>
      <c r="S4" s="9">
        <f>IF(Data!I5-4&gt;0,Data!I5-4,0)+S3</f>
        <v>0</v>
      </c>
      <c r="T4" s="9">
        <f>IF(Data!B5&gt;0,Data!B5,0)+T3</f>
        <v>0</v>
      </c>
      <c r="U4" s="9">
        <f>IF(Data!C5&gt;0,Data!C5,0)+U3</f>
        <v>0</v>
      </c>
      <c r="V4" s="9">
        <f>IF(Data!D5&gt;0,Data!D5,0)+V3</f>
        <v>0</v>
      </c>
      <c r="W4" s="9">
        <f>IF(Data!E5&gt;0,Data!E5,0)+W3</f>
        <v>0</v>
      </c>
      <c r="X4" s="9">
        <f>IF(Data!F5&gt;0,Data!F5,0)+X3</f>
        <v>0</v>
      </c>
      <c r="Y4" s="9">
        <f>IF(Data!G5&gt;0,Data!G5,0)+Y3</f>
        <v>0</v>
      </c>
      <c r="Z4" s="9">
        <f>IF(Data!H5&gt;0,Data!H5,0)+Z3</f>
        <v>0</v>
      </c>
      <c r="AA4" s="9">
        <f>IF(Data!I5&gt;0,Data!I5,0)+AA3</f>
        <v>0</v>
      </c>
    </row>
    <row r="5" spans="10:27" x14ac:dyDescent="0.25">
      <c r="J5" s="8">
        <v>46025</v>
      </c>
      <c r="K5" s="9">
        <v>143</v>
      </c>
      <c r="L5" s="9">
        <f>IF(Data!B6-4&gt;0,Data!B6-4,0)+L4</f>
        <v>0</v>
      </c>
      <c r="M5" s="9">
        <f>IF(Data!C6-4&gt;0,Data!C6-4,0)+M4</f>
        <v>0</v>
      </c>
      <c r="N5" s="9">
        <f>IF(Data!D6-4&gt;0,Data!D6-4,0)+N4</f>
        <v>0</v>
      </c>
      <c r="O5" s="9">
        <f>IF(Data!E6-4&gt;0,Data!E6-4,0)+O4</f>
        <v>0</v>
      </c>
      <c r="P5" s="9">
        <f>IF(Data!F6-4&gt;0,Data!F6-4,0)+P4</f>
        <v>0</v>
      </c>
      <c r="Q5" s="9">
        <f>IF(Data!G6-4&gt;0,Data!G6-4,0)+Q4</f>
        <v>0</v>
      </c>
      <c r="R5" s="9">
        <f>IF(Data!H6-4&gt;0,Data!H6-4,0)+R4</f>
        <v>0</v>
      </c>
      <c r="S5" s="9">
        <f>IF(Data!I6-4&gt;0,Data!I6-4,0)+S4</f>
        <v>0</v>
      </c>
      <c r="T5" s="9">
        <f>IF(Data!B6&gt;0,Data!B6,0)+T4</f>
        <v>0</v>
      </c>
      <c r="U5" s="9">
        <f>IF(Data!C6&gt;0,Data!C6,0)+U4</f>
        <v>0</v>
      </c>
      <c r="V5" s="9">
        <f>IF(Data!D6&gt;0,Data!D6,0)+V4</f>
        <v>0</v>
      </c>
      <c r="W5" s="9">
        <f>IF(Data!E6&gt;0,Data!E6,0)+W4</f>
        <v>0</v>
      </c>
      <c r="X5" s="9">
        <f>IF(Data!F6&gt;0,Data!F6,0)+X4</f>
        <v>0</v>
      </c>
      <c r="Y5" s="9">
        <f>IF(Data!G6&gt;0,Data!G6,0)+Y4</f>
        <v>0</v>
      </c>
      <c r="Z5" s="9">
        <f>IF(Data!H6&gt;0,Data!H6,0)+Z4</f>
        <v>0</v>
      </c>
      <c r="AA5" s="9">
        <f>IF(Data!I6&gt;0,Data!I6,0)+AA4</f>
        <v>0</v>
      </c>
    </row>
    <row r="6" spans="10:27" x14ac:dyDescent="0.25">
      <c r="J6" s="8">
        <v>46026</v>
      </c>
      <c r="K6" s="9">
        <v>143</v>
      </c>
      <c r="L6" s="9">
        <f>IF(Data!B7-4&gt;0,Data!B7-4,0)+L5</f>
        <v>0</v>
      </c>
      <c r="M6" s="9">
        <f>IF(Data!C7-4&gt;0,Data!C7-4,0)+M5</f>
        <v>0</v>
      </c>
      <c r="N6" s="9">
        <f>IF(Data!D7-4&gt;0,Data!D7-4,0)+N5</f>
        <v>0</v>
      </c>
      <c r="O6" s="9">
        <f>IF(Data!E7-4&gt;0,Data!E7-4,0)+O5</f>
        <v>0</v>
      </c>
      <c r="P6" s="9">
        <f>IF(Data!F7-4&gt;0,Data!F7-4,0)+P5</f>
        <v>0</v>
      </c>
      <c r="Q6" s="9">
        <f>IF(Data!G7-4&gt;0,Data!G7-4,0)+Q5</f>
        <v>0</v>
      </c>
      <c r="R6" s="9">
        <f>IF(Data!H7-4&gt;0,Data!H7-4,0)+R5</f>
        <v>0</v>
      </c>
      <c r="S6" s="9">
        <f>IF(Data!I7-4&gt;0,Data!I7-4,0)+S5</f>
        <v>0</v>
      </c>
      <c r="T6" s="9">
        <f>IF(Data!B7&gt;0,Data!B7,0)+T5</f>
        <v>0</v>
      </c>
      <c r="U6" s="9">
        <f>IF(Data!C7&gt;0,Data!C7,0)+U5</f>
        <v>0</v>
      </c>
      <c r="V6" s="9">
        <f>IF(Data!D7&gt;0,Data!D7,0)+V5</f>
        <v>0</v>
      </c>
      <c r="W6" s="9">
        <f>IF(Data!E7&gt;0,Data!E7,0)+W5</f>
        <v>0</v>
      </c>
      <c r="X6" s="9">
        <f>IF(Data!F7&gt;0,Data!F7,0)+X5</f>
        <v>0</v>
      </c>
      <c r="Y6" s="9">
        <f>IF(Data!G7&gt;0,Data!G7,0)+Y5</f>
        <v>0</v>
      </c>
      <c r="Z6" s="9">
        <f>IF(Data!H7&gt;0,Data!H7,0)+Z5</f>
        <v>0</v>
      </c>
      <c r="AA6" s="9">
        <f>IF(Data!I7&gt;0,Data!I7,0)+AA5</f>
        <v>0</v>
      </c>
    </row>
    <row r="7" spans="10:27" x14ac:dyDescent="0.25">
      <c r="J7" s="8">
        <v>46027</v>
      </c>
      <c r="K7" s="9">
        <v>143</v>
      </c>
      <c r="L7" s="9">
        <f>IF(Data!B8-4&gt;0,Data!B8-4,0)+L6</f>
        <v>0</v>
      </c>
      <c r="M7" s="9">
        <f>IF(Data!C8-4&gt;0,Data!C8-4,0)+M6</f>
        <v>0</v>
      </c>
      <c r="N7" s="9">
        <f>IF(Data!D8-4&gt;0,Data!D8-4,0)+N6</f>
        <v>0</v>
      </c>
      <c r="O7" s="9">
        <f>IF(Data!E8-4&gt;0,Data!E8-4,0)+O6</f>
        <v>0</v>
      </c>
      <c r="P7" s="9">
        <f>IF(Data!F8-4&gt;0,Data!F8-4,0)+P6</f>
        <v>0</v>
      </c>
      <c r="Q7" s="9">
        <f>IF(Data!G8-4&gt;0,Data!G8-4,0)+Q6</f>
        <v>0</v>
      </c>
      <c r="R7" s="9">
        <f>IF(Data!H8-4&gt;0,Data!H8-4,0)+R6</f>
        <v>0</v>
      </c>
      <c r="S7" s="9">
        <f>IF(Data!I8-4&gt;0,Data!I8-4,0)+S6</f>
        <v>0</v>
      </c>
      <c r="T7" s="9">
        <f>IF(Data!B8&gt;0,Data!B8,0)+T6</f>
        <v>0</v>
      </c>
      <c r="U7" s="9">
        <f>IF(Data!C8&gt;0,Data!C8,0)+U6</f>
        <v>0</v>
      </c>
      <c r="V7" s="9">
        <f>IF(Data!D8&gt;0,Data!D8,0)+V6</f>
        <v>0</v>
      </c>
      <c r="W7" s="9">
        <f>IF(Data!E8&gt;0,Data!E8,0)+W6</f>
        <v>0</v>
      </c>
      <c r="X7" s="9">
        <f>IF(Data!F8&gt;0,Data!F8,0)+X6</f>
        <v>0</v>
      </c>
      <c r="Y7" s="9">
        <f>IF(Data!G8&gt;0,Data!G8,0)+Y6</f>
        <v>0</v>
      </c>
      <c r="Z7" s="9">
        <f>IF(Data!H8&gt;0,Data!H8,0)+Z6</f>
        <v>0</v>
      </c>
      <c r="AA7" s="9">
        <f>IF(Data!I8&gt;0,Data!I8,0)+AA6</f>
        <v>0</v>
      </c>
    </row>
    <row r="8" spans="10:27" x14ac:dyDescent="0.25">
      <c r="J8" s="8">
        <v>46028</v>
      </c>
      <c r="K8" s="9">
        <v>143</v>
      </c>
      <c r="L8" s="9">
        <f>IF(Data!B9-4&gt;0,Data!B9-4,0)+L7</f>
        <v>0</v>
      </c>
      <c r="M8" s="9">
        <f>IF(Data!C9-4&gt;0,Data!C9-4,0)+M7</f>
        <v>0</v>
      </c>
      <c r="N8" s="9">
        <f>IF(Data!D9-4&gt;0,Data!D9-4,0)+N7</f>
        <v>0</v>
      </c>
      <c r="O8" s="9">
        <f>IF(Data!E9-4&gt;0,Data!E9-4,0)+O7</f>
        <v>0</v>
      </c>
      <c r="P8" s="9">
        <f>IF(Data!F9-4&gt;0,Data!F9-4,0)+P7</f>
        <v>0</v>
      </c>
      <c r="Q8" s="9">
        <f>IF(Data!G9-4&gt;0,Data!G9-4,0)+Q7</f>
        <v>0</v>
      </c>
      <c r="R8" s="9">
        <f>IF(Data!H9-4&gt;0,Data!H9-4,0)+R7</f>
        <v>0</v>
      </c>
      <c r="S8" s="9">
        <f>IF(Data!I9-4&gt;0,Data!I9-4,0)+S7</f>
        <v>0</v>
      </c>
      <c r="T8" s="9">
        <f>IF(Data!B9&gt;0,Data!B9,0)+T7</f>
        <v>0</v>
      </c>
      <c r="U8" s="9">
        <f>IF(Data!C9&gt;0,Data!C9,0)+U7</f>
        <v>0</v>
      </c>
      <c r="V8" s="9">
        <f>IF(Data!D9&gt;0,Data!D9,0)+V7</f>
        <v>0</v>
      </c>
      <c r="W8" s="9">
        <f>IF(Data!E9&gt;0,Data!E9,0)+W7</f>
        <v>0</v>
      </c>
      <c r="X8" s="9">
        <f>IF(Data!F9&gt;0,Data!F9,0)+X7</f>
        <v>0</v>
      </c>
      <c r="Y8" s="9">
        <f>IF(Data!G9&gt;0,Data!G9,0)+Y7</f>
        <v>0</v>
      </c>
      <c r="Z8" s="9">
        <f>IF(Data!H9&gt;0,Data!H9,0)+Z7</f>
        <v>0</v>
      </c>
      <c r="AA8" s="9">
        <f>IF(Data!I9&gt;0,Data!I9,0)+AA7</f>
        <v>0</v>
      </c>
    </row>
    <row r="9" spans="10:27" x14ac:dyDescent="0.25">
      <c r="J9" s="8">
        <v>46029</v>
      </c>
      <c r="K9" s="9">
        <v>143</v>
      </c>
      <c r="L9" s="9">
        <f>IF(Data!B10-4&gt;0,Data!B10-4,0)+L8</f>
        <v>0</v>
      </c>
      <c r="M9" s="9">
        <f>IF(Data!C10-4&gt;0,Data!C10-4,0)+M8</f>
        <v>0</v>
      </c>
      <c r="N9" s="9">
        <f>IF(Data!D10-4&gt;0,Data!D10-4,0)+N8</f>
        <v>0</v>
      </c>
      <c r="O9" s="9">
        <f>IF(Data!E10-4&gt;0,Data!E10-4,0)+O8</f>
        <v>0</v>
      </c>
      <c r="P9" s="9">
        <f>IF(Data!F10-4&gt;0,Data!F10-4,0)+P8</f>
        <v>0</v>
      </c>
      <c r="Q9" s="9">
        <f>IF(Data!G10-4&gt;0,Data!G10-4,0)+Q8</f>
        <v>0</v>
      </c>
      <c r="R9" s="9">
        <f>IF(Data!H10-4&gt;0,Data!H10-4,0)+R8</f>
        <v>0</v>
      </c>
      <c r="S9" s="9">
        <f>IF(Data!I10-4&gt;0,Data!I10-4,0)+S8</f>
        <v>0</v>
      </c>
      <c r="T9" s="9">
        <f>IF(Data!B10&gt;0,Data!B10,0)+T8</f>
        <v>0</v>
      </c>
      <c r="U9" s="9">
        <f>IF(Data!C10&gt;0,Data!C10,0)+U8</f>
        <v>0</v>
      </c>
      <c r="V9" s="9">
        <f>IF(Data!D10&gt;0,Data!D10,0)+V8</f>
        <v>0</v>
      </c>
      <c r="W9" s="9">
        <f>IF(Data!E10&gt;0,Data!E10,0)+W8</f>
        <v>0</v>
      </c>
      <c r="X9" s="9">
        <f>IF(Data!F10&gt;0,Data!F10,0)+X8</f>
        <v>0</v>
      </c>
      <c r="Y9" s="9">
        <f>IF(Data!G10&gt;0,Data!G10,0)+Y8</f>
        <v>0</v>
      </c>
      <c r="Z9" s="9">
        <f>IF(Data!H10&gt;0,Data!H10,0)+Z8</f>
        <v>0</v>
      </c>
      <c r="AA9" s="9">
        <f>IF(Data!I10&gt;0,Data!I10,0)+AA8</f>
        <v>0</v>
      </c>
    </row>
    <row r="10" spans="10:27" x14ac:dyDescent="0.25">
      <c r="J10" s="8">
        <v>46030</v>
      </c>
      <c r="K10" s="9">
        <v>143</v>
      </c>
      <c r="L10" s="9">
        <f>IF(Data!B11-4&gt;0,Data!B11-4,0)+L9</f>
        <v>0</v>
      </c>
      <c r="M10" s="9">
        <f>IF(Data!C11-4&gt;0,Data!C11-4,0)+M9</f>
        <v>0</v>
      </c>
      <c r="N10" s="9">
        <f>IF(Data!D11-4&gt;0,Data!D11-4,0)+N9</f>
        <v>0</v>
      </c>
      <c r="O10" s="9">
        <f>IF(Data!E11-4&gt;0,Data!E11-4,0)+O9</f>
        <v>0</v>
      </c>
      <c r="P10" s="9">
        <f>IF(Data!F11-4&gt;0,Data!F11-4,0)+P9</f>
        <v>0</v>
      </c>
      <c r="Q10" s="9">
        <f>IF(Data!G11-4&gt;0,Data!G11-4,0)+Q9</f>
        <v>0</v>
      </c>
      <c r="R10" s="9">
        <f>IF(Data!H11-4&gt;0,Data!H11-4,0)+R9</f>
        <v>0</v>
      </c>
      <c r="S10" s="9">
        <f>IF(Data!I11-4&gt;0,Data!I11-4,0)+S9</f>
        <v>0</v>
      </c>
      <c r="T10" s="9">
        <f>IF(Data!B11&gt;0,Data!B11,0)+T9</f>
        <v>0</v>
      </c>
      <c r="U10" s="9">
        <f>IF(Data!C11&gt;0,Data!C11,0)+U9</f>
        <v>0</v>
      </c>
      <c r="V10" s="9">
        <f>IF(Data!D11&gt;0,Data!D11,0)+V9</f>
        <v>0</v>
      </c>
      <c r="W10" s="9">
        <f>IF(Data!E11&gt;0,Data!E11,0)+W9</f>
        <v>0</v>
      </c>
      <c r="X10" s="9">
        <f>IF(Data!F11&gt;0,Data!F11,0)+X9</f>
        <v>0</v>
      </c>
      <c r="Y10" s="9">
        <f>IF(Data!G11&gt;0,Data!G11,0)+Y9</f>
        <v>0</v>
      </c>
      <c r="Z10" s="9">
        <f>IF(Data!H11&gt;0,Data!H11,0)+Z9</f>
        <v>0</v>
      </c>
      <c r="AA10" s="9">
        <f>IF(Data!I11&gt;0,Data!I11,0)+AA9</f>
        <v>0</v>
      </c>
    </row>
    <row r="11" spans="10:27" x14ac:dyDescent="0.25">
      <c r="J11" s="8">
        <v>46031</v>
      </c>
      <c r="K11" s="9">
        <v>143</v>
      </c>
      <c r="L11" s="9">
        <f>IF(Data!B12-4&gt;0,Data!B12-4,0)+L10</f>
        <v>0</v>
      </c>
      <c r="M11" s="9">
        <f>IF(Data!C12-4&gt;0,Data!C12-4,0)+M10</f>
        <v>0</v>
      </c>
      <c r="N11" s="9">
        <f>IF(Data!D12-4&gt;0,Data!D12-4,0)+N10</f>
        <v>0</v>
      </c>
      <c r="O11" s="9">
        <f>IF(Data!E12-4&gt;0,Data!E12-4,0)+O10</f>
        <v>0</v>
      </c>
      <c r="P11" s="9">
        <f>IF(Data!F12-4&gt;0,Data!F12-4,0)+P10</f>
        <v>0</v>
      </c>
      <c r="Q11" s="9">
        <f>IF(Data!G12-4&gt;0,Data!G12-4,0)+Q10</f>
        <v>0</v>
      </c>
      <c r="R11" s="9">
        <f>IF(Data!H12-4&gt;0,Data!H12-4,0)+R10</f>
        <v>0</v>
      </c>
      <c r="S11" s="9">
        <f>IF(Data!I12-4&gt;0,Data!I12-4,0)+S10</f>
        <v>0</v>
      </c>
      <c r="T11" s="9">
        <f>IF(Data!B12&gt;0,Data!B12,0)+T10</f>
        <v>0</v>
      </c>
      <c r="U11" s="9">
        <f>IF(Data!C12&gt;0,Data!C12,0)+U10</f>
        <v>0</v>
      </c>
      <c r="V11" s="9">
        <f>IF(Data!D12&gt;0,Data!D12,0)+V10</f>
        <v>0</v>
      </c>
      <c r="W11" s="9">
        <f>IF(Data!E12&gt;0,Data!E12,0)+W10</f>
        <v>0</v>
      </c>
      <c r="X11" s="9">
        <f>IF(Data!F12&gt;0,Data!F12,0)+X10</f>
        <v>0</v>
      </c>
      <c r="Y11" s="9">
        <f>IF(Data!G12&gt;0,Data!G12,0)+Y10</f>
        <v>0</v>
      </c>
      <c r="Z11" s="9">
        <f>IF(Data!H12&gt;0,Data!H12,0)+Z10</f>
        <v>0</v>
      </c>
      <c r="AA11" s="9">
        <f>IF(Data!I12&gt;0,Data!I12,0)+AA10</f>
        <v>0</v>
      </c>
    </row>
    <row r="12" spans="10:27" x14ac:dyDescent="0.25">
      <c r="J12" s="8">
        <v>46032</v>
      </c>
      <c r="K12" s="9">
        <v>143</v>
      </c>
      <c r="L12" s="9">
        <f>IF(Data!B13-4&gt;0,Data!B13-4,0)+L11</f>
        <v>0</v>
      </c>
      <c r="M12" s="9">
        <f>IF(Data!C13-4&gt;0,Data!C13-4,0)+M11</f>
        <v>0</v>
      </c>
      <c r="N12" s="9">
        <f>IF(Data!D13-4&gt;0,Data!D13-4,0)+N11</f>
        <v>0</v>
      </c>
      <c r="O12" s="9">
        <f>IF(Data!E13-4&gt;0,Data!E13-4,0)+O11</f>
        <v>0</v>
      </c>
      <c r="P12" s="9">
        <f>IF(Data!F13-4&gt;0,Data!F13-4,0)+P11</f>
        <v>0</v>
      </c>
      <c r="Q12" s="9">
        <f>IF(Data!G13-4&gt;0,Data!G13-4,0)+Q11</f>
        <v>0</v>
      </c>
      <c r="R12" s="9">
        <f>IF(Data!H13-4&gt;0,Data!H13-4,0)+R11</f>
        <v>0</v>
      </c>
      <c r="S12" s="9">
        <f>IF(Data!I13-4&gt;0,Data!I13-4,0)+S11</f>
        <v>0</v>
      </c>
      <c r="T12" s="9">
        <f>IF(Data!B13&gt;0,Data!B13,0)+T11</f>
        <v>0</v>
      </c>
      <c r="U12" s="9">
        <f>IF(Data!C13&gt;0,Data!C13,0)+U11</f>
        <v>0</v>
      </c>
      <c r="V12" s="9">
        <f>IF(Data!D13&gt;0,Data!D13,0)+V11</f>
        <v>0</v>
      </c>
      <c r="W12" s="9">
        <f>IF(Data!E13&gt;0,Data!E13,0)+W11</f>
        <v>0</v>
      </c>
      <c r="X12" s="9">
        <f>IF(Data!F13&gt;0,Data!F13,0)+X11</f>
        <v>0</v>
      </c>
      <c r="Y12" s="9">
        <f>IF(Data!G13&gt;0,Data!G13,0)+Y11</f>
        <v>0</v>
      </c>
      <c r="Z12" s="9">
        <f>IF(Data!H13&gt;0,Data!H13,0)+Z11</f>
        <v>0</v>
      </c>
      <c r="AA12" s="9">
        <f>IF(Data!I13&gt;0,Data!I13,0)+AA11</f>
        <v>0</v>
      </c>
    </row>
    <row r="13" spans="10:27" x14ac:dyDescent="0.25">
      <c r="J13" s="8">
        <v>46033</v>
      </c>
      <c r="K13" s="9">
        <v>143</v>
      </c>
      <c r="L13" s="9">
        <f>IF(Data!B14-4&gt;0,Data!B14-4,0)+L12</f>
        <v>0</v>
      </c>
      <c r="M13" s="9">
        <f>IF(Data!C14-4&gt;0,Data!C14-4,0)+M12</f>
        <v>0</v>
      </c>
      <c r="N13" s="9">
        <f>IF(Data!D14-4&gt;0,Data!D14-4,0)+N12</f>
        <v>0</v>
      </c>
      <c r="O13" s="9">
        <f>IF(Data!E14-4&gt;0,Data!E14-4,0)+O12</f>
        <v>0</v>
      </c>
      <c r="P13" s="9">
        <f>IF(Data!F14-4&gt;0,Data!F14-4,0)+P12</f>
        <v>0</v>
      </c>
      <c r="Q13" s="9">
        <f>IF(Data!G14-4&gt;0,Data!G14-4,0)+Q12</f>
        <v>0</v>
      </c>
      <c r="R13" s="9">
        <f>IF(Data!H14-4&gt;0,Data!H14-4,0)+R12</f>
        <v>0</v>
      </c>
      <c r="S13" s="9">
        <f>IF(Data!I14-4&gt;0,Data!I14-4,0)+S12</f>
        <v>0</v>
      </c>
      <c r="T13" s="9">
        <f>IF(Data!B14&gt;0,Data!B14,0)+T12</f>
        <v>0</v>
      </c>
      <c r="U13" s="9">
        <f>IF(Data!C14&gt;0,Data!C14,0)+U12</f>
        <v>0</v>
      </c>
      <c r="V13" s="9">
        <f>IF(Data!D14&gt;0,Data!D14,0)+V12</f>
        <v>0</v>
      </c>
      <c r="W13" s="9">
        <f>IF(Data!E14&gt;0,Data!E14,0)+W12</f>
        <v>0</v>
      </c>
      <c r="X13" s="9">
        <f>IF(Data!F14&gt;0,Data!F14,0)+X12</f>
        <v>0</v>
      </c>
      <c r="Y13" s="9">
        <f>IF(Data!G14&gt;0,Data!G14,0)+Y12</f>
        <v>0</v>
      </c>
      <c r="Z13" s="9">
        <f>IF(Data!H14&gt;0,Data!H14,0)+Z12</f>
        <v>0</v>
      </c>
      <c r="AA13" s="9">
        <f>IF(Data!I14&gt;0,Data!I14,0)+AA12</f>
        <v>0</v>
      </c>
    </row>
    <row r="14" spans="10:27" x14ac:dyDescent="0.25">
      <c r="J14" s="8">
        <v>46034</v>
      </c>
      <c r="K14" s="9">
        <v>143</v>
      </c>
      <c r="L14" s="9">
        <f>IF(Data!B15-4&gt;0,Data!B15-4,0)+L13</f>
        <v>0</v>
      </c>
      <c r="M14" s="9">
        <f>IF(Data!C15-4&gt;0,Data!C15-4,0)+M13</f>
        <v>0</v>
      </c>
      <c r="N14" s="9">
        <f>IF(Data!D15-4&gt;0,Data!D15-4,0)+N13</f>
        <v>0</v>
      </c>
      <c r="O14" s="9">
        <f>IF(Data!E15-4&gt;0,Data!E15-4,0)+O13</f>
        <v>0</v>
      </c>
      <c r="P14" s="9">
        <f>IF(Data!F15-4&gt;0,Data!F15-4,0)+P13</f>
        <v>0</v>
      </c>
      <c r="Q14" s="9">
        <f>IF(Data!G15-4&gt;0,Data!G15-4,0)+Q13</f>
        <v>0</v>
      </c>
      <c r="R14" s="9">
        <f>IF(Data!H15-4&gt;0,Data!H15-4,0)+R13</f>
        <v>0</v>
      </c>
      <c r="S14" s="9">
        <f>IF(Data!I15-4&gt;0,Data!I15-4,0)+S13</f>
        <v>0</v>
      </c>
      <c r="T14" s="9">
        <f>IF(Data!B15&gt;0,Data!B15,0)+T13</f>
        <v>0</v>
      </c>
      <c r="U14" s="9">
        <f>IF(Data!C15&gt;0,Data!C15,0)+U13</f>
        <v>0</v>
      </c>
      <c r="V14" s="9">
        <f>IF(Data!D15&gt;0,Data!D15,0)+V13</f>
        <v>0</v>
      </c>
      <c r="W14" s="9">
        <f>IF(Data!E15&gt;0,Data!E15,0)+W13</f>
        <v>0</v>
      </c>
      <c r="X14" s="9">
        <f>IF(Data!F15&gt;0,Data!F15,0)+X13</f>
        <v>0</v>
      </c>
      <c r="Y14" s="9">
        <f>IF(Data!G15&gt;0,Data!G15,0)+Y13</f>
        <v>0</v>
      </c>
      <c r="Z14" s="9">
        <f>IF(Data!H15&gt;0,Data!H15,0)+Z13</f>
        <v>0</v>
      </c>
      <c r="AA14" s="9">
        <f>IF(Data!I15&gt;0,Data!I15,0)+AA13</f>
        <v>0</v>
      </c>
    </row>
    <row r="15" spans="10:27" x14ac:dyDescent="0.25">
      <c r="J15" s="8">
        <v>46035</v>
      </c>
      <c r="K15" s="9">
        <v>143</v>
      </c>
      <c r="L15" s="9">
        <f>IF(Data!B16-4&gt;0,Data!B16-4,0)+L14</f>
        <v>0</v>
      </c>
      <c r="M15" s="9">
        <f>IF(Data!C16-4&gt;0,Data!C16-4,0)+M14</f>
        <v>0</v>
      </c>
      <c r="N15" s="9">
        <f>IF(Data!D16-4&gt;0,Data!D16-4,0)+N14</f>
        <v>0</v>
      </c>
      <c r="O15" s="9">
        <f>IF(Data!E16-4&gt;0,Data!E16-4,0)+O14</f>
        <v>0</v>
      </c>
      <c r="P15" s="9">
        <f>IF(Data!F16-4&gt;0,Data!F16-4,0)+P14</f>
        <v>0</v>
      </c>
      <c r="Q15" s="9">
        <f>IF(Data!G16-4&gt;0,Data!G16-4,0)+Q14</f>
        <v>0</v>
      </c>
      <c r="R15" s="9">
        <f>IF(Data!H16-4&gt;0,Data!H16-4,0)+R14</f>
        <v>0</v>
      </c>
      <c r="S15" s="9">
        <f>IF(Data!I16-4&gt;0,Data!I16-4,0)+S14</f>
        <v>0</v>
      </c>
      <c r="T15" s="9">
        <f>IF(Data!B16&gt;0,Data!B16,0)+T14</f>
        <v>0</v>
      </c>
      <c r="U15" s="9">
        <f>IF(Data!C16&gt;0,Data!C16,0)+U14</f>
        <v>0</v>
      </c>
      <c r="V15" s="9">
        <f>IF(Data!D16&gt;0,Data!D16,0)+V14</f>
        <v>0</v>
      </c>
      <c r="W15" s="9">
        <f>IF(Data!E16&gt;0,Data!E16,0)+W14</f>
        <v>0</v>
      </c>
      <c r="X15" s="9">
        <f>IF(Data!F16&gt;0,Data!F16,0)+X14</f>
        <v>0</v>
      </c>
      <c r="Y15" s="9">
        <f>IF(Data!G16&gt;0,Data!G16,0)+Y14</f>
        <v>0</v>
      </c>
      <c r="Z15" s="9">
        <f>IF(Data!H16&gt;0,Data!H16,0)+Z14</f>
        <v>0</v>
      </c>
      <c r="AA15" s="9">
        <f>IF(Data!I16&gt;0,Data!I16,0)+AA14</f>
        <v>0</v>
      </c>
    </row>
    <row r="16" spans="10:27" x14ac:dyDescent="0.25">
      <c r="J16" s="8">
        <v>46036</v>
      </c>
      <c r="K16" s="9">
        <v>143</v>
      </c>
      <c r="L16" s="9">
        <f>IF(Data!B17-4&gt;0,Data!B17-4,0)+L15</f>
        <v>0</v>
      </c>
      <c r="M16" s="9">
        <f>IF(Data!C17-4&gt;0,Data!C17-4,0)+M15</f>
        <v>0</v>
      </c>
      <c r="N16" s="9">
        <f>IF(Data!D17-4&gt;0,Data!D17-4,0)+N15</f>
        <v>0</v>
      </c>
      <c r="O16" s="9">
        <f>IF(Data!E17-4&gt;0,Data!E17-4,0)+O15</f>
        <v>0</v>
      </c>
      <c r="P16" s="9">
        <f>IF(Data!F17-4&gt;0,Data!F17-4,0)+P15</f>
        <v>0</v>
      </c>
      <c r="Q16" s="9">
        <f>IF(Data!G17-4&gt;0,Data!G17-4,0)+Q15</f>
        <v>0</v>
      </c>
      <c r="R16" s="9">
        <f>IF(Data!H17-4&gt;0,Data!H17-4,0)+R15</f>
        <v>0</v>
      </c>
      <c r="S16" s="9">
        <f>IF(Data!I17-4&gt;0,Data!I17-4,0)+S15</f>
        <v>0</v>
      </c>
      <c r="T16" s="9">
        <f>IF(Data!B17&gt;0,Data!B17,0)+T15</f>
        <v>0</v>
      </c>
      <c r="U16" s="9">
        <f>IF(Data!C17&gt;0,Data!C17,0)+U15</f>
        <v>0</v>
      </c>
      <c r="V16" s="9">
        <f>IF(Data!D17&gt;0,Data!D17,0)+V15</f>
        <v>0</v>
      </c>
      <c r="W16" s="9">
        <f>IF(Data!E17&gt;0,Data!E17,0)+W15</f>
        <v>0</v>
      </c>
      <c r="X16" s="9">
        <f>IF(Data!F17&gt;0,Data!F17,0)+X15</f>
        <v>0</v>
      </c>
      <c r="Y16" s="9">
        <f>IF(Data!G17&gt;0,Data!G17,0)+Y15</f>
        <v>0</v>
      </c>
      <c r="Z16" s="9">
        <f>IF(Data!H17&gt;0,Data!H17,0)+Z15</f>
        <v>0</v>
      </c>
      <c r="AA16" s="9">
        <f>IF(Data!I17&gt;0,Data!I17,0)+AA15</f>
        <v>0</v>
      </c>
    </row>
    <row r="17" spans="1:27" x14ac:dyDescent="0.25">
      <c r="J17" s="8">
        <v>46037</v>
      </c>
      <c r="K17" s="9">
        <v>143</v>
      </c>
      <c r="L17" s="9">
        <f>IF(Data!B18-4&gt;0,Data!B18-4,0)+L16</f>
        <v>0</v>
      </c>
      <c r="M17" s="9">
        <f>IF(Data!C18-4&gt;0,Data!C18-4,0)+M16</f>
        <v>0</v>
      </c>
      <c r="N17" s="9">
        <f>IF(Data!D18-4&gt;0,Data!D18-4,0)+N16</f>
        <v>0</v>
      </c>
      <c r="O17" s="9">
        <f>IF(Data!E18-4&gt;0,Data!E18-4,0)+O16</f>
        <v>0</v>
      </c>
      <c r="P17" s="9">
        <f>IF(Data!F18-4&gt;0,Data!F18-4,0)+P16</f>
        <v>0</v>
      </c>
      <c r="Q17" s="9">
        <f>IF(Data!G18-4&gt;0,Data!G18-4,0)+Q16</f>
        <v>0</v>
      </c>
      <c r="R17" s="9">
        <f>IF(Data!H18-4&gt;0,Data!H18-4,0)+R16</f>
        <v>0</v>
      </c>
      <c r="S17" s="9">
        <f>IF(Data!I18-4&gt;0,Data!I18-4,0)+S16</f>
        <v>0</v>
      </c>
      <c r="T17" s="9">
        <f>IF(Data!B18&gt;0,Data!B18,0)+T16</f>
        <v>0</v>
      </c>
      <c r="U17" s="9">
        <f>IF(Data!C18&gt;0,Data!C18,0)+U16</f>
        <v>0</v>
      </c>
      <c r="V17" s="9">
        <f>IF(Data!D18&gt;0,Data!D18,0)+V16</f>
        <v>0</v>
      </c>
      <c r="W17" s="9">
        <f>IF(Data!E18&gt;0,Data!E18,0)+W16</f>
        <v>0</v>
      </c>
      <c r="X17" s="9">
        <f>IF(Data!F18&gt;0,Data!F18,0)+X16</f>
        <v>0</v>
      </c>
      <c r="Y17" s="9">
        <f>IF(Data!G18&gt;0,Data!G18,0)+Y16</f>
        <v>0</v>
      </c>
      <c r="Z17" s="9">
        <f>IF(Data!H18&gt;0,Data!H18,0)+Z16</f>
        <v>0</v>
      </c>
      <c r="AA17" s="9">
        <f>IF(Data!I18&gt;0,Data!I18,0)+AA16</f>
        <v>0</v>
      </c>
    </row>
    <row r="18" spans="1:27" x14ac:dyDescent="0.25">
      <c r="J18" s="8">
        <v>46038</v>
      </c>
      <c r="K18" s="9">
        <v>143</v>
      </c>
      <c r="L18" s="9">
        <f>IF(Data!B19-4&gt;0,Data!B19-4,0)+L17</f>
        <v>0</v>
      </c>
      <c r="M18" s="9">
        <f>IF(Data!C19-4&gt;0,Data!C19-4,0)+M17</f>
        <v>0</v>
      </c>
      <c r="N18" s="9">
        <f>IF(Data!D19-4&gt;0,Data!D19-4,0)+N17</f>
        <v>0</v>
      </c>
      <c r="O18" s="9">
        <f>IF(Data!E19-4&gt;0,Data!E19-4,0)+O17</f>
        <v>0</v>
      </c>
      <c r="P18" s="9">
        <f>IF(Data!F19-4&gt;0,Data!F19-4,0)+P17</f>
        <v>0</v>
      </c>
      <c r="Q18" s="9">
        <f>IF(Data!G19-4&gt;0,Data!G19-4,0)+Q17</f>
        <v>0</v>
      </c>
      <c r="R18" s="9">
        <f>IF(Data!H19-4&gt;0,Data!H19-4,0)+R17</f>
        <v>0</v>
      </c>
      <c r="S18" s="9">
        <f>IF(Data!I19-4&gt;0,Data!I19-4,0)+S17</f>
        <v>0</v>
      </c>
      <c r="T18" s="9">
        <f>IF(Data!B19&gt;0,Data!B19,0)+T17</f>
        <v>0</v>
      </c>
      <c r="U18" s="9">
        <f>IF(Data!C19&gt;0,Data!C19,0)+U17</f>
        <v>0</v>
      </c>
      <c r="V18" s="9">
        <f>IF(Data!D19&gt;0,Data!D19,0)+V17</f>
        <v>0</v>
      </c>
      <c r="W18" s="9">
        <f>IF(Data!E19&gt;0,Data!E19,0)+W17</f>
        <v>0</v>
      </c>
      <c r="X18" s="9">
        <f>IF(Data!F19&gt;0,Data!F19,0)+X17</f>
        <v>0</v>
      </c>
      <c r="Y18" s="9">
        <f>IF(Data!G19&gt;0,Data!G19,0)+Y17</f>
        <v>0</v>
      </c>
      <c r="Z18" s="9">
        <f>IF(Data!H19&gt;0,Data!H19,0)+Z17</f>
        <v>0</v>
      </c>
      <c r="AA18" s="9">
        <f>IF(Data!I19&gt;0,Data!I19,0)+AA17</f>
        <v>0</v>
      </c>
    </row>
    <row r="19" spans="1:27" x14ac:dyDescent="0.25">
      <c r="J19" s="8">
        <v>46039</v>
      </c>
      <c r="K19" s="9">
        <v>143</v>
      </c>
      <c r="L19" s="9">
        <f>IF(Data!B20-4&gt;0,Data!B20-4,0)+L18</f>
        <v>0</v>
      </c>
      <c r="M19" s="9">
        <f>IF(Data!C20-4&gt;0,Data!C20-4,0)+M18</f>
        <v>0</v>
      </c>
      <c r="N19" s="9">
        <f>IF(Data!D20-4&gt;0,Data!D20-4,0)+N18</f>
        <v>0</v>
      </c>
      <c r="O19" s="9">
        <f>IF(Data!E20-4&gt;0,Data!E20-4,0)+O18</f>
        <v>0</v>
      </c>
      <c r="P19" s="9">
        <f>IF(Data!F20-4&gt;0,Data!F20-4,0)+P18</f>
        <v>0</v>
      </c>
      <c r="Q19" s="9">
        <f>IF(Data!G20-4&gt;0,Data!G20-4,0)+Q18</f>
        <v>0</v>
      </c>
      <c r="R19" s="9">
        <f>IF(Data!H20-4&gt;0,Data!H20-4,0)+R18</f>
        <v>0</v>
      </c>
      <c r="S19" s="9">
        <f>IF(Data!I20-4&gt;0,Data!I20-4,0)+S18</f>
        <v>0</v>
      </c>
      <c r="T19" s="9">
        <f>IF(Data!B20&gt;0,Data!B20,0)+T18</f>
        <v>0</v>
      </c>
      <c r="U19" s="9">
        <f>IF(Data!C20&gt;0,Data!C20,0)+U18</f>
        <v>0</v>
      </c>
      <c r="V19" s="9">
        <f>IF(Data!D20&gt;0,Data!D20,0)+V18</f>
        <v>0</v>
      </c>
      <c r="W19" s="9">
        <f>IF(Data!E20&gt;0,Data!E20,0)+W18</f>
        <v>0</v>
      </c>
      <c r="X19" s="9">
        <f>IF(Data!F20&gt;0,Data!F20,0)+X18</f>
        <v>0</v>
      </c>
      <c r="Y19" s="9">
        <f>IF(Data!G20&gt;0,Data!G20,0)+Y18</f>
        <v>0</v>
      </c>
      <c r="Z19" s="9">
        <f>IF(Data!H20&gt;0,Data!H20,0)+Z18</f>
        <v>0</v>
      </c>
      <c r="AA19" s="9">
        <f>IF(Data!I20&gt;0,Data!I20,0)+AA18</f>
        <v>0</v>
      </c>
    </row>
    <row r="20" spans="1:27" x14ac:dyDescent="0.25">
      <c r="J20" s="8">
        <v>46040</v>
      </c>
      <c r="K20" s="9">
        <v>143</v>
      </c>
      <c r="L20" s="9">
        <f>IF(Data!B21-4&gt;0,Data!B21-4,0)+L19</f>
        <v>0</v>
      </c>
      <c r="M20" s="9">
        <f>IF(Data!C21-4&gt;0,Data!C21-4,0)+M19</f>
        <v>0</v>
      </c>
      <c r="N20" s="9">
        <f>IF(Data!D21-4&gt;0,Data!D21-4,0)+N19</f>
        <v>0</v>
      </c>
      <c r="O20" s="9">
        <f>IF(Data!E21-4&gt;0,Data!E21-4,0)+O19</f>
        <v>0</v>
      </c>
      <c r="P20" s="9">
        <f>IF(Data!F21-4&gt;0,Data!F21-4,0)+P19</f>
        <v>0</v>
      </c>
      <c r="Q20" s="9">
        <f>IF(Data!G21-4&gt;0,Data!G21-4,0)+Q19</f>
        <v>0</v>
      </c>
      <c r="R20" s="9">
        <f>IF(Data!H21-4&gt;0,Data!H21-4,0)+R19</f>
        <v>0</v>
      </c>
      <c r="S20" s="9">
        <f>IF(Data!I21-4&gt;0,Data!I21-4,0)+S19</f>
        <v>0</v>
      </c>
      <c r="T20" s="9">
        <f>IF(Data!B21&gt;0,Data!B21,0)+T19</f>
        <v>0</v>
      </c>
      <c r="U20" s="9">
        <f>IF(Data!C21&gt;0,Data!C21,0)+U19</f>
        <v>0</v>
      </c>
      <c r="V20" s="9">
        <f>IF(Data!D21&gt;0,Data!D21,0)+V19</f>
        <v>0</v>
      </c>
      <c r="W20" s="9">
        <f>IF(Data!E21&gt;0,Data!E21,0)+W19</f>
        <v>0</v>
      </c>
      <c r="X20" s="9">
        <f>IF(Data!F21&gt;0,Data!F21,0)+X19</f>
        <v>0</v>
      </c>
      <c r="Y20" s="9">
        <f>IF(Data!G21&gt;0,Data!G21,0)+Y19</f>
        <v>0</v>
      </c>
      <c r="Z20" s="9">
        <f>IF(Data!H21&gt;0,Data!H21,0)+Z19</f>
        <v>0</v>
      </c>
      <c r="AA20" s="9">
        <f>IF(Data!I21&gt;0,Data!I21,0)+AA19</f>
        <v>0</v>
      </c>
    </row>
    <row r="21" spans="1:27" x14ac:dyDescent="0.25">
      <c r="J21" s="8">
        <v>46041</v>
      </c>
      <c r="K21" s="9">
        <v>143</v>
      </c>
      <c r="L21" s="9">
        <f>IF(Data!B22-4&gt;0,Data!B22-4,0)+L20</f>
        <v>0</v>
      </c>
      <c r="M21" s="9">
        <f>IF(Data!C22-4&gt;0,Data!C22-4,0)+M20</f>
        <v>0</v>
      </c>
      <c r="N21" s="9">
        <f>IF(Data!D22-4&gt;0,Data!D22-4,0)+N20</f>
        <v>0</v>
      </c>
      <c r="O21" s="9">
        <f>IF(Data!E22-4&gt;0,Data!E22-4,0)+O20</f>
        <v>0</v>
      </c>
      <c r="P21" s="9">
        <f>IF(Data!F22-4&gt;0,Data!F22-4,0)+P20</f>
        <v>0</v>
      </c>
      <c r="Q21" s="9">
        <f>IF(Data!G22-4&gt;0,Data!G22-4,0)+Q20</f>
        <v>0</v>
      </c>
      <c r="R21" s="9">
        <f>IF(Data!H22-4&gt;0,Data!H22-4,0)+R20</f>
        <v>0</v>
      </c>
      <c r="S21" s="9">
        <f>IF(Data!I22-4&gt;0,Data!I22-4,0)+S20</f>
        <v>0</v>
      </c>
      <c r="T21" s="9">
        <f>IF(Data!B22&gt;0,Data!B22,0)+T20</f>
        <v>0</v>
      </c>
      <c r="U21" s="9">
        <f>IF(Data!C22&gt;0,Data!C22,0)+U20</f>
        <v>0</v>
      </c>
      <c r="V21" s="9">
        <f>IF(Data!D22&gt;0,Data!D22,0)+V20</f>
        <v>0</v>
      </c>
      <c r="W21" s="9">
        <f>IF(Data!E22&gt;0,Data!E22,0)+W20</f>
        <v>0</v>
      </c>
      <c r="X21" s="9">
        <f>IF(Data!F22&gt;0,Data!F22,0)+X20</f>
        <v>0</v>
      </c>
      <c r="Y21" s="9">
        <f>IF(Data!G22&gt;0,Data!G22,0)+Y20</f>
        <v>0</v>
      </c>
      <c r="Z21" s="9">
        <f>IF(Data!H22&gt;0,Data!H22,0)+Z20</f>
        <v>0</v>
      </c>
      <c r="AA21" s="9">
        <f>IF(Data!I22&gt;0,Data!I22,0)+AA20</f>
        <v>0</v>
      </c>
    </row>
    <row r="22" spans="1:27" x14ac:dyDescent="0.25">
      <c r="J22" s="8">
        <v>46042</v>
      </c>
      <c r="K22" s="9">
        <v>143</v>
      </c>
      <c r="L22" s="9">
        <f>IF(Data!B23-4&gt;0,Data!B23-4,0)+L21</f>
        <v>0</v>
      </c>
      <c r="M22" s="9">
        <f>IF(Data!C23-4&gt;0,Data!C23-4,0)+M21</f>
        <v>0</v>
      </c>
      <c r="N22" s="9">
        <f>IF(Data!D23-4&gt;0,Data!D23-4,0)+N21</f>
        <v>0</v>
      </c>
      <c r="O22" s="9">
        <f>IF(Data!E23-4&gt;0,Data!E23-4,0)+O21</f>
        <v>0</v>
      </c>
      <c r="P22" s="9">
        <f>IF(Data!F23-4&gt;0,Data!F23-4,0)+P21</f>
        <v>0</v>
      </c>
      <c r="Q22" s="9">
        <f>IF(Data!G23-4&gt;0,Data!G23-4,0)+Q21</f>
        <v>0</v>
      </c>
      <c r="R22" s="9">
        <f>IF(Data!H23-4&gt;0,Data!H23-4,0)+R21</f>
        <v>0</v>
      </c>
      <c r="S22" s="9">
        <f>IF(Data!I23-4&gt;0,Data!I23-4,0)+S21</f>
        <v>0</v>
      </c>
      <c r="T22" s="9">
        <f>IF(Data!B23&gt;0,Data!B23,0)+T21</f>
        <v>0</v>
      </c>
      <c r="U22" s="9">
        <f>IF(Data!C23&gt;0,Data!C23,0)+U21</f>
        <v>0</v>
      </c>
      <c r="V22" s="9">
        <f>IF(Data!D23&gt;0,Data!D23,0)+V21</f>
        <v>0</v>
      </c>
      <c r="W22" s="9">
        <f>IF(Data!E23&gt;0,Data!E23,0)+W21</f>
        <v>0</v>
      </c>
      <c r="X22" s="9">
        <f>IF(Data!F23&gt;0,Data!F23,0)+X21</f>
        <v>0</v>
      </c>
      <c r="Y22" s="9">
        <f>IF(Data!G23&gt;0,Data!G23,0)+Y21</f>
        <v>0</v>
      </c>
      <c r="Z22" s="9">
        <f>IF(Data!H23&gt;0,Data!H23,0)+Z21</f>
        <v>0</v>
      </c>
      <c r="AA22" s="9">
        <f>IF(Data!I23&gt;0,Data!I23,0)+AA21</f>
        <v>0</v>
      </c>
    </row>
    <row r="23" spans="1:27" x14ac:dyDescent="0.25">
      <c r="J23" s="8">
        <v>46043</v>
      </c>
      <c r="K23" s="9">
        <v>143</v>
      </c>
      <c r="L23" s="9">
        <f>IF(Data!B24-4&gt;0,Data!B24-4,0)+L22</f>
        <v>0</v>
      </c>
      <c r="M23" s="9">
        <f>IF(Data!C24-4&gt;0,Data!C24-4,0)+M22</f>
        <v>0</v>
      </c>
      <c r="N23" s="9">
        <f>IF(Data!D24-4&gt;0,Data!D24-4,0)+N22</f>
        <v>0</v>
      </c>
      <c r="O23" s="9">
        <f>IF(Data!E24-4&gt;0,Data!E24-4,0)+O22</f>
        <v>0</v>
      </c>
      <c r="P23" s="9">
        <f>IF(Data!F24-4&gt;0,Data!F24-4,0)+P22</f>
        <v>0</v>
      </c>
      <c r="Q23" s="9">
        <f>IF(Data!G24-4&gt;0,Data!G24-4,0)+Q22</f>
        <v>0</v>
      </c>
      <c r="R23" s="9">
        <f>IF(Data!H24-4&gt;0,Data!H24-4,0)+R22</f>
        <v>0</v>
      </c>
      <c r="S23" s="9">
        <f>IF(Data!I24-4&gt;0,Data!I24-4,0)+S22</f>
        <v>0</v>
      </c>
      <c r="T23" s="9">
        <f>IF(Data!B24&gt;0,Data!B24,0)+T22</f>
        <v>0</v>
      </c>
      <c r="U23" s="9">
        <f>IF(Data!C24&gt;0,Data!C24,0)+U22</f>
        <v>0</v>
      </c>
      <c r="V23" s="9">
        <f>IF(Data!D24&gt;0,Data!D24,0)+V22</f>
        <v>0</v>
      </c>
      <c r="W23" s="9">
        <f>IF(Data!E24&gt;0,Data!E24,0)+W22</f>
        <v>0</v>
      </c>
      <c r="X23" s="9">
        <f>IF(Data!F24&gt;0,Data!F24,0)+X22</f>
        <v>0</v>
      </c>
      <c r="Y23" s="9">
        <f>IF(Data!G24&gt;0,Data!G24,0)+Y22</f>
        <v>0</v>
      </c>
      <c r="Z23" s="9">
        <f>IF(Data!H24&gt;0,Data!H24,0)+Z22</f>
        <v>0</v>
      </c>
      <c r="AA23" s="9">
        <f>IF(Data!I24&gt;0,Data!I24,0)+AA22</f>
        <v>0</v>
      </c>
    </row>
    <row r="24" spans="1:27" x14ac:dyDescent="0.25">
      <c r="A24" s="13" t="s">
        <v>4</v>
      </c>
      <c r="B24" s="13" t="e">
        <f ca="1">M2</f>
        <v>#NAME?</v>
      </c>
      <c r="C24" s="13" t="e">
        <f t="shared" ref="C24:G24" ca="1" si="1">N2</f>
        <v>#NAME?</v>
      </c>
      <c r="D24" s="13" t="e">
        <f t="shared" ca="1" si="1"/>
        <v>#NAME?</v>
      </c>
      <c r="E24" s="13" t="e">
        <f t="shared" ca="1" si="1"/>
        <v>#NAME?</v>
      </c>
      <c r="F24" s="13" t="e">
        <f t="shared" ca="1" si="1"/>
        <v>#NAME?</v>
      </c>
      <c r="G24" s="13" t="e">
        <f t="shared" ca="1" si="1"/>
        <v>#NAME?</v>
      </c>
      <c r="H24" s="13" t="e">
        <f ca="1">S2</f>
        <v>#NAME?</v>
      </c>
      <c r="J24" s="8">
        <v>46044</v>
      </c>
      <c r="K24" s="9">
        <v>143</v>
      </c>
      <c r="L24" s="9">
        <f>IF(Data!B25-4&gt;0,Data!B25-4,0)+L23</f>
        <v>0</v>
      </c>
      <c r="M24" s="9">
        <f>IF(Data!C25-4&gt;0,Data!C25-4,0)+M23</f>
        <v>0</v>
      </c>
      <c r="N24" s="9">
        <f>IF(Data!D25-4&gt;0,Data!D25-4,0)+N23</f>
        <v>0</v>
      </c>
      <c r="O24" s="9">
        <f>IF(Data!E25-4&gt;0,Data!E25-4,0)+O23</f>
        <v>0</v>
      </c>
      <c r="P24" s="9">
        <f>IF(Data!F25-4&gt;0,Data!F25-4,0)+P23</f>
        <v>0</v>
      </c>
      <c r="Q24" s="9">
        <f>IF(Data!G25-4&gt;0,Data!G25-4,0)+Q23</f>
        <v>0</v>
      </c>
      <c r="R24" s="9">
        <f>IF(Data!H25-4&gt;0,Data!H25-4,0)+R23</f>
        <v>0</v>
      </c>
      <c r="S24" s="9">
        <f>IF(Data!I25-4&gt;0,Data!I25-4,0)+S23</f>
        <v>0</v>
      </c>
      <c r="T24" s="9">
        <f>IF(Data!B25&gt;0,Data!B25,0)+T23</f>
        <v>0</v>
      </c>
      <c r="U24" s="9">
        <f>IF(Data!C25&gt;0,Data!C25,0)+U23</f>
        <v>0</v>
      </c>
      <c r="V24" s="9">
        <f>IF(Data!D25&gt;0,Data!D25,0)+V23</f>
        <v>0</v>
      </c>
      <c r="W24" s="9">
        <f>IF(Data!E25&gt;0,Data!E25,0)+W23</f>
        <v>0</v>
      </c>
      <c r="X24" s="9">
        <f>IF(Data!F25&gt;0,Data!F25,0)+X23</f>
        <v>0</v>
      </c>
      <c r="Y24" s="9">
        <f>IF(Data!G25&gt;0,Data!G25,0)+Y23</f>
        <v>0</v>
      </c>
      <c r="Z24" s="9">
        <f>IF(Data!H25&gt;0,Data!H25,0)+Z23</f>
        <v>0</v>
      </c>
      <c r="AA24" s="9">
        <f>IF(Data!I25&gt;0,Data!I25,0)+AA23</f>
        <v>0</v>
      </c>
    </row>
    <row r="25" spans="1:27" ht="45" x14ac:dyDescent="0.25">
      <c r="A25" s="13" t="s">
        <v>5</v>
      </c>
      <c r="B25" s="13">
        <f>M92</f>
        <v>0</v>
      </c>
      <c r="C25" s="13">
        <f t="shared" ref="C25:H25" si="2">N92</f>
        <v>0</v>
      </c>
      <c r="D25" s="13">
        <f t="shared" si="2"/>
        <v>0</v>
      </c>
      <c r="E25" s="13">
        <f t="shared" si="2"/>
        <v>0</v>
      </c>
      <c r="F25" s="13">
        <f t="shared" si="2"/>
        <v>0</v>
      </c>
      <c r="G25" s="13">
        <f t="shared" si="2"/>
        <v>0</v>
      </c>
      <c r="H25" s="13">
        <f t="shared" si="2"/>
        <v>0</v>
      </c>
      <c r="J25" s="8">
        <v>46045</v>
      </c>
      <c r="K25" s="9">
        <v>143</v>
      </c>
      <c r="L25" s="9">
        <f>IF(Data!B26-4&gt;0,Data!B26-4,0)+L24</f>
        <v>0</v>
      </c>
      <c r="M25" s="9">
        <f>IF(Data!C26-4&gt;0,Data!C26-4,0)+M24</f>
        <v>0</v>
      </c>
      <c r="N25" s="9">
        <f>IF(Data!D26-4&gt;0,Data!D26-4,0)+N24</f>
        <v>0</v>
      </c>
      <c r="O25" s="9">
        <f>IF(Data!E26-4&gt;0,Data!E26-4,0)+O24</f>
        <v>0</v>
      </c>
      <c r="P25" s="9">
        <f>IF(Data!F26-4&gt;0,Data!F26-4,0)+P24</f>
        <v>0</v>
      </c>
      <c r="Q25" s="9">
        <f>IF(Data!G26-4&gt;0,Data!G26-4,0)+Q24</f>
        <v>0</v>
      </c>
      <c r="R25" s="9">
        <f>IF(Data!H26-4&gt;0,Data!H26-4,0)+R24</f>
        <v>0</v>
      </c>
      <c r="S25" s="9">
        <f>IF(Data!I26-4&gt;0,Data!I26-4,0)+S24</f>
        <v>0</v>
      </c>
      <c r="T25" s="9">
        <f>IF(Data!B26&gt;0,Data!B26,0)+T24</f>
        <v>0</v>
      </c>
      <c r="U25" s="9">
        <f>IF(Data!C26&gt;0,Data!C26,0)+U24</f>
        <v>0</v>
      </c>
      <c r="V25" s="9">
        <f>IF(Data!D26&gt;0,Data!D26,0)+V24</f>
        <v>0</v>
      </c>
      <c r="W25" s="9">
        <f>IF(Data!E26&gt;0,Data!E26,0)+W24</f>
        <v>0</v>
      </c>
      <c r="X25" s="9">
        <f>IF(Data!F26&gt;0,Data!F26,0)+X24</f>
        <v>0</v>
      </c>
      <c r="Y25" s="9">
        <f>IF(Data!G26&gt;0,Data!G26,0)+Y24</f>
        <v>0</v>
      </c>
      <c r="Z25" s="9">
        <f>IF(Data!H26&gt;0,Data!H26,0)+Z24</f>
        <v>0</v>
      </c>
      <c r="AA25" s="9">
        <f>IF(Data!I26&gt;0,Data!I26,0)+AA24</f>
        <v>0</v>
      </c>
    </row>
    <row r="26" spans="1:27" x14ac:dyDescent="0.25">
      <c r="J26" s="8">
        <v>46046</v>
      </c>
      <c r="K26" s="9">
        <v>143</v>
      </c>
      <c r="L26" s="9">
        <f>IF(Data!B27-4&gt;0,Data!B27-4,0)+L25</f>
        <v>0</v>
      </c>
      <c r="M26" s="9">
        <f>IF(Data!C27-4&gt;0,Data!C27-4,0)+M25</f>
        <v>0</v>
      </c>
      <c r="N26" s="9">
        <f>IF(Data!D27-4&gt;0,Data!D27-4,0)+N25</f>
        <v>0</v>
      </c>
      <c r="O26" s="9">
        <f>IF(Data!E27-4&gt;0,Data!E27-4,0)+O25</f>
        <v>0</v>
      </c>
      <c r="P26" s="9">
        <f>IF(Data!F27-4&gt;0,Data!F27-4,0)+P25</f>
        <v>0</v>
      </c>
      <c r="Q26" s="9">
        <f>IF(Data!G27-4&gt;0,Data!G27-4,0)+Q25</f>
        <v>0</v>
      </c>
      <c r="R26" s="9">
        <f>IF(Data!H27-4&gt;0,Data!H27-4,0)+R25</f>
        <v>0</v>
      </c>
      <c r="S26" s="9">
        <f>IF(Data!I27-4&gt;0,Data!I27-4,0)+S25</f>
        <v>0</v>
      </c>
      <c r="T26" s="9">
        <f>IF(Data!B27&gt;0,Data!B27,0)+T25</f>
        <v>0</v>
      </c>
      <c r="U26" s="9">
        <f>IF(Data!C27&gt;0,Data!C27,0)+U25</f>
        <v>0</v>
      </c>
      <c r="V26" s="9">
        <f>IF(Data!D27&gt;0,Data!D27,0)+V25</f>
        <v>0</v>
      </c>
      <c r="W26" s="9">
        <f>IF(Data!E27&gt;0,Data!E27,0)+W25</f>
        <v>0</v>
      </c>
      <c r="X26" s="9">
        <f>IF(Data!F27&gt;0,Data!F27,0)+X25</f>
        <v>0</v>
      </c>
      <c r="Y26" s="9">
        <f>IF(Data!G27&gt;0,Data!G27,0)+Y25</f>
        <v>0</v>
      </c>
      <c r="Z26" s="9">
        <f>IF(Data!H27&gt;0,Data!H27,0)+Z25</f>
        <v>0</v>
      </c>
      <c r="AA26" s="9">
        <f>IF(Data!I27&gt;0,Data!I27,0)+AA25</f>
        <v>0</v>
      </c>
    </row>
    <row r="27" spans="1:27" x14ac:dyDescent="0.25">
      <c r="A27" s="13" t="s">
        <v>6</v>
      </c>
      <c r="B27" s="13" t="e">
        <f t="shared" ref="B27:H27" ca="1" si="3">U2</f>
        <v>#NAME?</v>
      </c>
      <c r="C27" s="13" t="e">
        <f t="shared" ca="1" si="3"/>
        <v>#NAME?</v>
      </c>
      <c r="D27" s="13" t="e">
        <f t="shared" ca="1" si="3"/>
        <v>#NAME?</v>
      </c>
      <c r="E27" s="13" t="e">
        <f t="shared" ca="1" si="3"/>
        <v>#NAME?</v>
      </c>
      <c r="F27" s="13" t="e">
        <f t="shared" ca="1" si="3"/>
        <v>#NAME?</v>
      </c>
      <c r="G27" s="13" t="e">
        <f t="shared" ca="1" si="3"/>
        <v>#NAME?</v>
      </c>
      <c r="H27" s="13" t="e">
        <f t="shared" ca="1" si="3"/>
        <v>#NAME?</v>
      </c>
      <c r="J27" s="8">
        <v>46047</v>
      </c>
      <c r="K27" s="9">
        <v>143</v>
      </c>
      <c r="L27" s="9">
        <f>IF(Data!B28-4&gt;0,Data!B28-4,0)+L26</f>
        <v>0</v>
      </c>
      <c r="M27" s="9">
        <f>IF(Data!C28-4&gt;0,Data!C28-4,0)+M26</f>
        <v>0</v>
      </c>
      <c r="N27" s="9">
        <f>IF(Data!D28-4&gt;0,Data!D28-4,0)+N26</f>
        <v>0</v>
      </c>
      <c r="O27" s="9">
        <f>IF(Data!E28-4&gt;0,Data!E28-4,0)+O26</f>
        <v>0</v>
      </c>
      <c r="P27" s="9">
        <f>IF(Data!F28-4&gt;0,Data!F28-4,0)+P26</f>
        <v>0</v>
      </c>
      <c r="Q27" s="9">
        <f>IF(Data!G28-4&gt;0,Data!G28-4,0)+Q26</f>
        <v>0</v>
      </c>
      <c r="R27" s="9">
        <f>IF(Data!H28-4&gt;0,Data!H28-4,0)+R26</f>
        <v>0</v>
      </c>
      <c r="S27" s="9">
        <f>IF(Data!I28-4&gt;0,Data!I28-4,0)+S26</f>
        <v>0</v>
      </c>
      <c r="T27" s="9">
        <f>IF(Data!B28&gt;0,Data!B28,0)+T26</f>
        <v>0</v>
      </c>
      <c r="U27" s="9">
        <f>IF(Data!C28&gt;0,Data!C28,0)+U26</f>
        <v>0</v>
      </c>
      <c r="V27" s="9">
        <f>IF(Data!D28&gt;0,Data!D28,0)+V26</f>
        <v>0</v>
      </c>
      <c r="W27" s="9">
        <f>IF(Data!E28&gt;0,Data!E28,0)+W26</f>
        <v>0</v>
      </c>
      <c r="X27" s="9">
        <f>IF(Data!F28&gt;0,Data!F28,0)+X26</f>
        <v>0</v>
      </c>
      <c r="Y27" s="9">
        <f>IF(Data!G28&gt;0,Data!G28,0)+Y26</f>
        <v>0</v>
      </c>
      <c r="Z27" s="9">
        <f>IF(Data!H28&gt;0,Data!H28,0)+Z26</f>
        <v>0</v>
      </c>
      <c r="AA27" s="9">
        <f>IF(Data!I28&gt;0,Data!I28,0)+AA26</f>
        <v>0</v>
      </c>
    </row>
    <row r="28" spans="1:27" ht="45" x14ac:dyDescent="0.25">
      <c r="A28" s="13" t="s">
        <v>5</v>
      </c>
      <c r="B28" s="13">
        <f t="shared" ref="B28:H28" si="4">U92</f>
        <v>0</v>
      </c>
      <c r="C28" s="13">
        <f t="shared" si="4"/>
        <v>0</v>
      </c>
      <c r="D28" s="13">
        <f t="shared" si="4"/>
        <v>0</v>
      </c>
      <c r="E28" s="13">
        <f t="shared" si="4"/>
        <v>0</v>
      </c>
      <c r="F28" s="13">
        <f t="shared" si="4"/>
        <v>0</v>
      </c>
      <c r="G28" s="13">
        <f t="shared" si="4"/>
        <v>0</v>
      </c>
      <c r="H28" s="13">
        <f t="shared" si="4"/>
        <v>0</v>
      </c>
      <c r="J28" s="8">
        <v>46048</v>
      </c>
      <c r="K28" s="9">
        <v>143</v>
      </c>
      <c r="L28" s="9">
        <f>IF(Data!B29-4&gt;0,Data!B29-4,0)+L27</f>
        <v>0</v>
      </c>
      <c r="M28" s="9">
        <f>IF(Data!C29-4&gt;0,Data!C29-4,0)+M27</f>
        <v>0</v>
      </c>
      <c r="N28" s="9">
        <f>IF(Data!D29-4&gt;0,Data!D29-4,0)+N27</f>
        <v>0</v>
      </c>
      <c r="O28" s="9">
        <f>IF(Data!E29-4&gt;0,Data!E29-4,0)+O27</f>
        <v>0</v>
      </c>
      <c r="P28" s="9">
        <f>IF(Data!F29-4&gt;0,Data!F29-4,0)+P27</f>
        <v>0</v>
      </c>
      <c r="Q28" s="9">
        <f>IF(Data!G29-4&gt;0,Data!G29-4,0)+Q27</f>
        <v>0</v>
      </c>
      <c r="R28" s="9">
        <f>IF(Data!H29-4&gt;0,Data!H29-4,0)+R27</f>
        <v>0</v>
      </c>
      <c r="S28" s="9">
        <f>IF(Data!I29-4&gt;0,Data!I29-4,0)+S27</f>
        <v>0</v>
      </c>
      <c r="T28" s="9">
        <f>IF(Data!B29&gt;0,Data!B29,0)+T27</f>
        <v>0</v>
      </c>
      <c r="U28" s="9">
        <f>IF(Data!C29&gt;0,Data!C29,0)+U27</f>
        <v>0</v>
      </c>
      <c r="V28" s="9">
        <f>IF(Data!D29&gt;0,Data!D29,0)+V27</f>
        <v>0</v>
      </c>
      <c r="W28" s="9">
        <f>IF(Data!E29&gt;0,Data!E29,0)+W27</f>
        <v>0</v>
      </c>
      <c r="X28" s="9">
        <f>IF(Data!F29&gt;0,Data!F29,0)+X27</f>
        <v>0</v>
      </c>
      <c r="Y28" s="9">
        <f>IF(Data!G29&gt;0,Data!G29,0)+Y27</f>
        <v>0</v>
      </c>
      <c r="Z28" s="9">
        <f>IF(Data!H29&gt;0,Data!H29,0)+Z27</f>
        <v>0</v>
      </c>
      <c r="AA28" s="9">
        <f>IF(Data!I29&gt;0,Data!I29,0)+AA27</f>
        <v>0</v>
      </c>
    </row>
    <row r="29" spans="1:27" x14ac:dyDescent="0.25">
      <c r="J29" s="8">
        <v>46049</v>
      </c>
      <c r="K29" s="9">
        <v>143</v>
      </c>
      <c r="L29" s="9">
        <f>IF(Data!B30-4&gt;0,Data!B30-4,0)+L28</f>
        <v>0</v>
      </c>
      <c r="M29" s="9">
        <f>IF(Data!C30-4&gt;0,Data!C30-4,0)+M28</f>
        <v>0</v>
      </c>
      <c r="N29" s="9">
        <f>IF(Data!D30-4&gt;0,Data!D30-4,0)+N28</f>
        <v>0</v>
      </c>
      <c r="O29" s="9">
        <f>IF(Data!E30-4&gt;0,Data!E30-4,0)+O28</f>
        <v>0</v>
      </c>
      <c r="P29" s="9">
        <f>IF(Data!F30-4&gt;0,Data!F30-4,0)+P28</f>
        <v>0</v>
      </c>
      <c r="Q29" s="9">
        <f>IF(Data!G30-4&gt;0,Data!G30-4,0)+Q28</f>
        <v>0</v>
      </c>
      <c r="R29" s="9">
        <f>IF(Data!H30-4&gt;0,Data!H30-4,0)+R28</f>
        <v>0</v>
      </c>
      <c r="S29" s="9">
        <f>IF(Data!I30-4&gt;0,Data!I30-4,0)+S28</f>
        <v>0</v>
      </c>
      <c r="T29" s="9">
        <f>IF(Data!B30&gt;0,Data!B30,0)+T28</f>
        <v>0</v>
      </c>
      <c r="U29" s="9">
        <f>IF(Data!C30&gt;0,Data!C30,0)+U28</f>
        <v>0</v>
      </c>
      <c r="V29" s="9">
        <f>IF(Data!D30&gt;0,Data!D30,0)+V28</f>
        <v>0</v>
      </c>
      <c r="W29" s="9">
        <f>IF(Data!E30&gt;0,Data!E30,0)+W28</f>
        <v>0</v>
      </c>
      <c r="X29" s="9">
        <f>IF(Data!F30&gt;0,Data!F30,0)+X28</f>
        <v>0</v>
      </c>
      <c r="Y29" s="9">
        <f>IF(Data!G30&gt;0,Data!G30,0)+Y28</f>
        <v>0</v>
      </c>
      <c r="Z29" s="9">
        <f>IF(Data!H30&gt;0,Data!H30,0)+Z28</f>
        <v>0</v>
      </c>
      <c r="AA29" s="9">
        <f>IF(Data!I30&gt;0,Data!I30,0)+AA28</f>
        <v>0</v>
      </c>
    </row>
    <row r="30" spans="1:27" x14ac:dyDescent="0.25">
      <c r="J30" s="8">
        <v>46050</v>
      </c>
      <c r="K30" s="9">
        <v>143</v>
      </c>
      <c r="L30" s="9">
        <f>IF(Data!B31-4&gt;0,Data!B31-4,0)+L29</f>
        <v>0</v>
      </c>
      <c r="M30" s="9">
        <f>IF(Data!C31-4&gt;0,Data!C31-4,0)+M29</f>
        <v>0</v>
      </c>
      <c r="N30" s="9">
        <f>IF(Data!D31-4&gt;0,Data!D31-4,0)+N29</f>
        <v>0</v>
      </c>
      <c r="O30" s="9">
        <f>IF(Data!E31-4&gt;0,Data!E31-4,0)+O29</f>
        <v>0</v>
      </c>
      <c r="P30" s="9">
        <f>IF(Data!F31-4&gt;0,Data!F31-4,0)+P29</f>
        <v>0</v>
      </c>
      <c r="Q30" s="9">
        <f>IF(Data!G31-4&gt;0,Data!G31-4,0)+Q29</f>
        <v>0</v>
      </c>
      <c r="R30" s="9">
        <f>IF(Data!H31-4&gt;0,Data!H31-4,0)+R29</f>
        <v>0</v>
      </c>
      <c r="S30" s="9">
        <f>IF(Data!I31-4&gt;0,Data!I31-4,0)+S29</f>
        <v>0</v>
      </c>
      <c r="T30" s="9">
        <f>IF(Data!B31&gt;0,Data!B31,0)+T29</f>
        <v>0</v>
      </c>
      <c r="U30" s="9">
        <f>IF(Data!C31&gt;0,Data!C31,0)+U29</f>
        <v>0</v>
      </c>
      <c r="V30" s="9">
        <f>IF(Data!D31&gt;0,Data!D31,0)+V29</f>
        <v>0</v>
      </c>
      <c r="W30" s="9">
        <f>IF(Data!E31&gt;0,Data!E31,0)+W29</f>
        <v>0</v>
      </c>
      <c r="X30" s="9">
        <f>IF(Data!F31&gt;0,Data!F31,0)+X29</f>
        <v>0</v>
      </c>
      <c r="Y30" s="9">
        <f>IF(Data!G31&gt;0,Data!G31,0)+Y29</f>
        <v>0</v>
      </c>
      <c r="Z30" s="9">
        <f>IF(Data!H31&gt;0,Data!H31,0)+Z29</f>
        <v>0</v>
      </c>
      <c r="AA30" s="9">
        <f>IF(Data!I31&gt;0,Data!I31,0)+AA29</f>
        <v>0</v>
      </c>
    </row>
    <row r="31" spans="1:27" x14ac:dyDescent="0.25">
      <c r="J31" s="8">
        <v>46051</v>
      </c>
      <c r="K31" s="9">
        <v>143</v>
      </c>
      <c r="L31" s="9">
        <f>IF(Data!B32-4&gt;0,Data!B32-4,0)+L30</f>
        <v>0</v>
      </c>
      <c r="M31" s="9">
        <f>IF(Data!C32-4&gt;0,Data!C32-4,0)+M30</f>
        <v>0</v>
      </c>
      <c r="N31" s="9">
        <f>IF(Data!D32-4&gt;0,Data!D32-4,0)+N30</f>
        <v>0</v>
      </c>
      <c r="O31" s="9">
        <f>IF(Data!E32-4&gt;0,Data!E32-4,0)+O30</f>
        <v>0</v>
      </c>
      <c r="P31" s="9">
        <f>IF(Data!F32-4&gt;0,Data!F32-4,0)+P30</f>
        <v>0</v>
      </c>
      <c r="Q31" s="9">
        <f>IF(Data!G32-4&gt;0,Data!G32-4,0)+Q30</f>
        <v>0</v>
      </c>
      <c r="R31" s="9">
        <f>IF(Data!H32-4&gt;0,Data!H32-4,0)+R30</f>
        <v>0</v>
      </c>
      <c r="S31" s="9">
        <f>IF(Data!I32-4&gt;0,Data!I32-4,0)+S30</f>
        <v>0</v>
      </c>
      <c r="T31" s="9">
        <f>IF(Data!B32&gt;0,Data!B32,0)+T30</f>
        <v>0</v>
      </c>
      <c r="U31" s="9">
        <f>IF(Data!C32&gt;0,Data!C32,0)+U30</f>
        <v>0</v>
      </c>
      <c r="V31" s="9">
        <f>IF(Data!D32&gt;0,Data!D32,0)+V30</f>
        <v>0</v>
      </c>
      <c r="W31" s="9">
        <f>IF(Data!E32&gt;0,Data!E32,0)+W30</f>
        <v>0</v>
      </c>
      <c r="X31" s="9">
        <f>IF(Data!F32&gt;0,Data!F32,0)+X30</f>
        <v>0</v>
      </c>
      <c r="Y31" s="9">
        <f>IF(Data!G32&gt;0,Data!G32,0)+Y30</f>
        <v>0</v>
      </c>
      <c r="Z31" s="9">
        <f>IF(Data!H32&gt;0,Data!H32,0)+Z30</f>
        <v>0</v>
      </c>
      <c r="AA31" s="9">
        <f>IF(Data!I32&gt;0,Data!I32,0)+AA30</f>
        <v>0</v>
      </c>
    </row>
    <row r="32" spans="1:27" x14ac:dyDescent="0.25">
      <c r="J32" s="8">
        <v>46052</v>
      </c>
      <c r="K32" s="9">
        <v>143</v>
      </c>
      <c r="L32" s="9">
        <f>IF(Data!B33-4&gt;0,Data!B33-4,0)+L31</f>
        <v>0</v>
      </c>
      <c r="M32" s="9">
        <f>IF(Data!C33-4&gt;0,Data!C33-4,0)+M31</f>
        <v>0</v>
      </c>
      <c r="N32" s="9">
        <f>IF(Data!D33-4&gt;0,Data!D33-4,0)+N31</f>
        <v>0</v>
      </c>
      <c r="O32" s="9">
        <f>IF(Data!E33-4&gt;0,Data!E33-4,0)+O31</f>
        <v>0</v>
      </c>
      <c r="P32" s="9">
        <f>IF(Data!F33-4&gt;0,Data!F33-4,0)+P31</f>
        <v>0</v>
      </c>
      <c r="Q32" s="9">
        <f>IF(Data!G33-4&gt;0,Data!G33-4,0)+Q31</f>
        <v>0</v>
      </c>
      <c r="R32" s="9">
        <f>IF(Data!H33-4&gt;0,Data!H33-4,0)+R31</f>
        <v>0</v>
      </c>
      <c r="S32" s="9">
        <f>IF(Data!I33-4&gt;0,Data!I33-4,0)+S31</f>
        <v>0</v>
      </c>
      <c r="T32" s="9">
        <f>IF(Data!B33&gt;0,Data!B33,0)+T31</f>
        <v>0</v>
      </c>
      <c r="U32" s="9">
        <f>IF(Data!C33&gt;0,Data!C33,0)+U31</f>
        <v>0</v>
      </c>
      <c r="V32" s="9">
        <f>IF(Data!D33&gt;0,Data!D33,0)+V31</f>
        <v>0</v>
      </c>
      <c r="W32" s="9">
        <f>IF(Data!E33&gt;0,Data!E33,0)+W31</f>
        <v>0</v>
      </c>
      <c r="X32" s="9">
        <f>IF(Data!F33&gt;0,Data!F33,0)+X31</f>
        <v>0</v>
      </c>
      <c r="Y32" s="9">
        <f>IF(Data!G33&gt;0,Data!G33,0)+Y31</f>
        <v>0</v>
      </c>
      <c r="Z32" s="9">
        <f>IF(Data!H33&gt;0,Data!H33,0)+Z31</f>
        <v>0</v>
      </c>
      <c r="AA32" s="9">
        <f>IF(Data!I33&gt;0,Data!I33,0)+AA31</f>
        <v>0</v>
      </c>
    </row>
    <row r="33" spans="10:27" x14ac:dyDescent="0.25">
      <c r="J33" s="8">
        <v>46053</v>
      </c>
      <c r="K33" s="9">
        <v>143</v>
      </c>
      <c r="L33" s="9">
        <f>IF(Data!B34-4&gt;0,Data!B34-4,0)+L32</f>
        <v>0</v>
      </c>
      <c r="M33" s="9">
        <f>IF(Data!C34-4&gt;0,Data!C34-4,0)+M32</f>
        <v>0</v>
      </c>
      <c r="N33" s="9">
        <f>IF(Data!D34-4&gt;0,Data!D34-4,0)+N32</f>
        <v>0</v>
      </c>
      <c r="O33" s="9">
        <f>IF(Data!E34-4&gt;0,Data!E34-4,0)+O32</f>
        <v>0</v>
      </c>
      <c r="P33" s="9">
        <f>IF(Data!F34-4&gt;0,Data!F34-4,0)+P32</f>
        <v>0</v>
      </c>
      <c r="Q33" s="9">
        <f>IF(Data!G34-4&gt;0,Data!G34-4,0)+Q32</f>
        <v>0</v>
      </c>
      <c r="R33" s="9">
        <f>IF(Data!H34-4&gt;0,Data!H34-4,0)+R32</f>
        <v>0</v>
      </c>
      <c r="S33" s="9">
        <f>IF(Data!I34-4&gt;0,Data!I34-4,0)+S32</f>
        <v>0</v>
      </c>
      <c r="T33" s="9">
        <f>IF(Data!B34&gt;0,Data!B34,0)+T32</f>
        <v>0</v>
      </c>
      <c r="U33" s="9">
        <f>IF(Data!C34&gt;0,Data!C34,0)+U32</f>
        <v>0</v>
      </c>
      <c r="V33" s="9">
        <f>IF(Data!D34&gt;0,Data!D34,0)+V32</f>
        <v>0</v>
      </c>
      <c r="W33" s="9">
        <f>IF(Data!E34&gt;0,Data!E34,0)+W32</f>
        <v>0</v>
      </c>
      <c r="X33" s="9">
        <f>IF(Data!F34&gt;0,Data!F34,0)+X32</f>
        <v>0</v>
      </c>
      <c r="Y33" s="9">
        <f>IF(Data!G34&gt;0,Data!G34,0)+Y32</f>
        <v>0</v>
      </c>
      <c r="Z33" s="9">
        <f>IF(Data!H34&gt;0,Data!H34,0)+Z32</f>
        <v>0</v>
      </c>
      <c r="AA33" s="9">
        <f>IF(Data!I34&gt;0,Data!I34,0)+AA32</f>
        <v>0</v>
      </c>
    </row>
    <row r="34" spans="10:27" x14ac:dyDescent="0.25">
      <c r="J34" s="8">
        <v>46054</v>
      </c>
      <c r="K34" s="9">
        <v>143</v>
      </c>
      <c r="L34" s="9">
        <f>IF(Data!B35-4&gt;0,Data!B35-4,0)+L33</f>
        <v>0</v>
      </c>
      <c r="M34" s="9">
        <f>IF(Data!C35-4&gt;0,Data!C35-4,0)+M33</f>
        <v>0</v>
      </c>
      <c r="N34" s="9">
        <f>IF(Data!D35-4&gt;0,Data!D35-4,0)+N33</f>
        <v>0</v>
      </c>
      <c r="O34" s="9">
        <f>IF(Data!E35-4&gt;0,Data!E35-4,0)+O33</f>
        <v>0</v>
      </c>
      <c r="P34" s="9">
        <f>IF(Data!F35-4&gt;0,Data!F35-4,0)+P33</f>
        <v>0</v>
      </c>
      <c r="Q34" s="9">
        <f>IF(Data!G35-4&gt;0,Data!G35-4,0)+Q33</f>
        <v>0</v>
      </c>
      <c r="R34" s="9">
        <f>IF(Data!H35-4&gt;0,Data!H35-4,0)+R33</f>
        <v>0</v>
      </c>
      <c r="S34" s="9">
        <f>IF(Data!I35-4&gt;0,Data!I35-4,0)+S33</f>
        <v>0</v>
      </c>
      <c r="T34" s="9">
        <f>IF(Data!B35&gt;0,Data!B35,0)+T33</f>
        <v>0</v>
      </c>
      <c r="U34" s="9">
        <f>IF(Data!C35&gt;0,Data!C35,0)+U33</f>
        <v>0</v>
      </c>
      <c r="V34" s="9">
        <f>IF(Data!D35&gt;0,Data!D35,0)+V33</f>
        <v>0</v>
      </c>
      <c r="W34" s="9">
        <f>IF(Data!E35&gt;0,Data!E35,0)+W33</f>
        <v>0</v>
      </c>
      <c r="X34" s="9">
        <f>IF(Data!F35&gt;0,Data!F35,0)+X33</f>
        <v>0</v>
      </c>
      <c r="Y34" s="9">
        <f>IF(Data!G35&gt;0,Data!G35,0)+Y33</f>
        <v>0</v>
      </c>
      <c r="Z34" s="9">
        <f>IF(Data!H35&gt;0,Data!H35,0)+Z33</f>
        <v>0</v>
      </c>
      <c r="AA34" s="9">
        <f>IF(Data!I35&gt;0,Data!I35,0)+AA33</f>
        <v>0</v>
      </c>
    </row>
    <row r="35" spans="10:27" x14ac:dyDescent="0.25">
      <c r="J35" s="8">
        <v>46055</v>
      </c>
      <c r="K35" s="9">
        <v>143</v>
      </c>
      <c r="L35" s="9">
        <f>IF(Data!B36-4&gt;0,Data!B36-4,0)+L34</f>
        <v>0</v>
      </c>
      <c r="M35" s="9">
        <f>IF(Data!C36-4&gt;0,Data!C36-4,0)+M34</f>
        <v>0</v>
      </c>
      <c r="N35" s="9">
        <f>IF(Data!D36-4&gt;0,Data!D36-4,0)+N34</f>
        <v>0</v>
      </c>
      <c r="O35" s="9">
        <f>IF(Data!E36-4&gt;0,Data!E36-4,0)+O34</f>
        <v>0</v>
      </c>
      <c r="P35" s="9">
        <f>IF(Data!F36-4&gt;0,Data!F36-4,0)+P34</f>
        <v>0</v>
      </c>
      <c r="Q35" s="9">
        <f>IF(Data!G36-4&gt;0,Data!G36-4,0)+Q34</f>
        <v>0</v>
      </c>
      <c r="R35" s="9">
        <f>IF(Data!H36-4&gt;0,Data!H36-4,0)+R34</f>
        <v>0</v>
      </c>
      <c r="S35" s="9">
        <f>IF(Data!I36-4&gt;0,Data!I36-4,0)+S34</f>
        <v>0</v>
      </c>
      <c r="T35" s="9">
        <f>IF(Data!B36&gt;0,Data!B36,0)+T34</f>
        <v>0</v>
      </c>
      <c r="U35" s="9">
        <f>IF(Data!C36&gt;0,Data!C36,0)+U34</f>
        <v>0</v>
      </c>
      <c r="V35" s="9">
        <f>IF(Data!D36&gt;0,Data!D36,0)+V34</f>
        <v>0</v>
      </c>
      <c r="W35" s="9">
        <f>IF(Data!E36&gt;0,Data!E36,0)+W34</f>
        <v>0</v>
      </c>
      <c r="X35" s="9">
        <f>IF(Data!F36&gt;0,Data!F36,0)+X34</f>
        <v>0</v>
      </c>
      <c r="Y35" s="9">
        <f>IF(Data!G36&gt;0,Data!G36,0)+Y34</f>
        <v>0</v>
      </c>
      <c r="Z35" s="9">
        <f>IF(Data!H36&gt;0,Data!H36,0)+Z34</f>
        <v>0</v>
      </c>
      <c r="AA35" s="9">
        <f>IF(Data!I36&gt;0,Data!I36,0)+AA34</f>
        <v>0</v>
      </c>
    </row>
    <row r="36" spans="10:27" x14ac:dyDescent="0.25">
      <c r="J36" s="8">
        <v>46056</v>
      </c>
      <c r="K36" s="9">
        <v>143</v>
      </c>
      <c r="L36" s="9">
        <f>IF(Data!B37-4&gt;0,Data!B37-4,0)+L35</f>
        <v>0</v>
      </c>
      <c r="M36" s="9">
        <f>IF(Data!C37-4&gt;0,Data!C37-4,0)+M35</f>
        <v>0</v>
      </c>
      <c r="N36" s="9">
        <f>IF(Data!D37-4&gt;0,Data!D37-4,0)+N35</f>
        <v>0</v>
      </c>
      <c r="O36" s="9">
        <f>IF(Data!E37-4&gt;0,Data!E37-4,0)+O35</f>
        <v>0</v>
      </c>
      <c r="P36" s="9">
        <f>IF(Data!F37-4&gt;0,Data!F37-4,0)+P35</f>
        <v>0</v>
      </c>
      <c r="Q36" s="9">
        <f>IF(Data!G37-4&gt;0,Data!G37-4,0)+Q35</f>
        <v>0</v>
      </c>
      <c r="R36" s="9">
        <f>IF(Data!H37-4&gt;0,Data!H37-4,0)+R35</f>
        <v>0</v>
      </c>
      <c r="S36" s="9">
        <f>IF(Data!I37-4&gt;0,Data!I37-4,0)+S35</f>
        <v>0</v>
      </c>
      <c r="T36" s="9">
        <f>IF(Data!B37&gt;0,Data!B37,0)+T35</f>
        <v>0</v>
      </c>
      <c r="U36" s="9">
        <f>IF(Data!C37&gt;0,Data!C37,0)+U35</f>
        <v>0</v>
      </c>
      <c r="V36" s="9">
        <f>IF(Data!D37&gt;0,Data!D37,0)+V35</f>
        <v>0</v>
      </c>
      <c r="W36" s="9">
        <f>IF(Data!E37&gt;0,Data!E37,0)+W35</f>
        <v>0</v>
      </c>
      <c r="X36" s="9">
        <f>IF(Data!F37&gt;0,Data!F37,0)+X35</f>
        <v>0</v>
      </c>
      <c r="Y36" s="9">
        <f>IF(Data!G37&gt;0,Data!G37,0)+Y35</f>
        <v>0</v>
      </c>
      <c r="Z36" s="9">
        <f>IF(Data!H37&gt;0,Data!H37,0)+Z35</f>
        <v>0</v>
      </c>
      <c r="AA36" s="9">
        <f>IF(Data!I37&gt;0,Data!I37,0)+AA35</f>
        <v>0</v>
      </c>
    </row>
    <row r="37" spans="10:27" x14ac:dyDescent="0.25">
      <c r="J37" s="8">
        <v>46057</v>
      </c>
      <c r="K37" s="9">
        <v>143</v>
      </c>
      <c r="L37" s="9">
        <f>IF(Data!B38-4&gt;0,Data!B38-4,0)+L36</f>
        <v>0</v>
      </c>
      <c r="M37" s="9">
        <f>IF(Data!C38-4&gt;0,Data!C38-4,0)+M36</f>
        <v>0</v>
      </c>
      <c r="N37" s="9">
        <f>IF(Data!D38-4&gt;0,Data!D38-4,0)+N36</f>
        <v>0</v>
      </c>
      <c r="O37" s="9">
        <f>IF(Data!E38-4&gt;0,Data!E38-4,0)+O36</f>
        <v>0</v>
      </c>
      <c r="P37" s="9">
        <f>IF(Data!F38-4&gt;0,Data!F38-4,0)+P36</f>
        <v>0</v>
      </c>
      <c r="Q37" s="9">
        <f>IF(Data!G38-4&gt;0,Data!G38-4,0)+Q36</f>
        <v>0</v>
      </c>
      <c r="R37" s="9">
        <f>IF(Data!H38-4&gt;0,Data!H38-4,0)+R36</f>
        <v>0</v>
      </c>
      <c r="S37" s="9">
        <f>IF(Data!I38-4&gt;0,Data!I38-4,0)+S36</f>
        <v>0</v>
      </c>
      <c r="T37" s="9">
        <f>IF(Data!B38&gt;0,Data!B38,0)+T36</f>
        <v>0</v>
      </c>
      <c r="U37" s="9">
        <f>IF(Data!C38&gt;0,Data!C38,0)+U36</f>
        <v>0</v>
      </c>
      <c r="V37" s="9">
        <f>IF(Data!D38&gt;0,Data!D38,0)+V36</f>
        <v>0</v>
      </c>
      <c r="W37" s="9">
        <f>IF(Data!E38&gt;0,Data!E38,0)+W36</f>
        <v>0</v>
      </c>
      <c r="X37" s="9">
        <f>IF(Data!F38&gt;0,Data!F38,0)+X36</f>
        <v>0</v>
      </c>
      <c r="Y37" s="9">
        <f>IF(Data!G38&gt;0,Data!G38,0)+Y36</f>
        <v>0</v>
      </c>
      <c r="Z37" s="9">
        <f>IF(Data!H38&gt;0,Data!H38,0)+Z36</f>
        <v>0</v>
      </c>
      <c r="AA37" s="9">
        <f>IF(Data!I38&gt;0,Data!I38,0)+AA36</f>
        <v>0</v>
      </c>
    </row>
    <row r="38" spans="10:27" x14ac:dyDescent="0.25">
      <c r="J38" s="8">
        <v>46058</v>
      </c>
      <c r="K38" s="9">
        <v>143</v>
      </c>
      <c r="L38" s="9">
        <f>IF(Data!B39-4&gt;0,Data!B39-4,0)+L37</f>
        <v>0</v>
      </c>
      <c r="M38" s="9">
        <f>IF(Data!C39-4&gt;0,Data!C39-4,0)+M37</f>
        <v>0</v>
      </c>
      <c r="N38" s="9">
        <f>IF(Data!D39-4&gt;0,Data!D39-4,0)+N37</f>
        <v>0</v>
      </c>
      <c r="O38" s="9">
        <f>IF(Data!E39-4&gt;0,Data!E39-4,0)+O37</f>
        <v>0</v>
      </c>
      <c r="P38" s="9">
        <f>IF(Data!F39-4&gt;0,Data!F39-4,0)+P37</f>
        <v>0</v>
      </c>
      <c r="Q38" s="9">
        <f>IF(Data!G39-4&gt;0,Data!G39-4,0)+Q37</f>
        <v>0</v>
      </c>
      <c r="R38" s="9">
        <f>IF(Data!H39-4&gt;0,Data!H39-4,0)+R37</f>
        <v>0</v>
      </c>
      <c r="S38" s="9">
        <f>IF(Data!I39-4&gt;0,Data!I39-4,0)+S37</f>
        <v>0</v>
      </c>
      <c r="T38" s="9">
        <f>IF(Data!B39&gt;0,Data!B39,0)+T37</f>
        <v>0</v>
      </c>
      <c r="U38" s="9">
        <f>IF(Data!C39&gt;0,Data!C39,0)+U37</f>
        <v>0</v>
      </c>
      <c r="V38" s="9">
        <f>IF(Data!D39&gt;0,Data!D39,0)+V37</f>
        <v>0</v>
      </c>
      <c r="W38" s="9">
        <f>IF(Data!E39&gt;0,Data!E39,0)+W37</f>
        <v>0</v>
      </c>
      <c r="X38" s="9">
        <f>IF(Data!F39&gt;0,Data!F39,0)+X37</f>
        <v>0</v>
      </c>
      <c r="Y38" s="9">
        <f>IF(Data!G39&gt;0,Data!G39,0)+Y37</f>
        <v>0</v>
      </c>
      <c r="Z38" s="9">
        <f>IF(Data!H39&gt;0,Data!H39,0)+Z37</f>
        <v>0</v>
      </c>
      <c r="AA38" s="9">
        <f>IF(Data!I39&gt;0,Data!I39,0)+AA37</f>
        <v>0</v>
      </c>
    </row>
    <row r="39" spans="10:27" x14ac:dyDescent="0.25">
      <c r="J39" s="8">
        <v>46059</v>
      </c>
      <c r="K39" s="9">
        <v>143</v>
      </c>
      <c r="L39" s="9">
        <f>IF(Data!B40-4&gt;0,Data!B40-4,0)+L38</f>
        <v>0</v>
      </c>
      <c r="M39" s="9">
        <f>IF(Data!C40-4&gt;0,Data!C40-4,0)+M38</f>
        <v>0</v>
      </c>
      <c r="N39" s="9">
        <f>IF(Data!D40-4&gt;0,Data!D40-4,0)+N38</f>
        <v>0</v>
      </c>
      <c r="O39" s="9">
        <f>IF(Data!E40-4&gt;0,Data!E40-4,0)+O38</f>
        <v>0</v>
      </c>
      <c r="P39" s="9">
        <f>IF(Data!F40-4&gt;0,Data!F40-4,0)+P38</f>
        <v>0</v>
      </c>
      <c r="Q39" s="9">
        <f>IF(Data!G40-4&gt;0,Data!G40-4,0)+Q38</f>
        <v>0</v>
      </c>
      <c r="R39" s="9">
        <f>IF(Data!H40-4&gt;0,Data!H40-4,0)+R38</f>
        <v>0</v>
      </c>
      <c r="S39" s="9">
        <f>IF(Data!I40-4&gt;0,Data!I40-4,0)+S38</f>
        <v>0</v>
      </c>
      <c r="T39" s="9">
        <f>IF(Data!B40&gt;0,Data!B40,0)+T38</f>
        <v>0</v>
      </c>
      <c r="U39" s="9">
        <f>IF(Data!C40&gt;0,Data!C40,0)+U38</f>
        <v>0</v>
      </c>
      <c r="V39" s="9">
        <f>IF(Data!D40&gt;0,Data!D40,0)+V38</f>
        <v>0</v>
      </c>
      <c r="W39" s="9">
        <f>IF(Data!E40&gt;0,Data!E40,0)+W38</f>
        <v>0</v>
      </c>
      <c r="X39" s="9">
        <f>IF(Data!F40&gt;0,Data!F40,0)+X38</f>
        <v>0</v>
      </c>
      <c r="Y39" s="9">
        <f>IF(Data!G40&gt;0,Data!G40,0)+Y38</f>
        <v>0</v>
      </c>
      <c r="Z39" s="9">
        <f>IF(Data!H40&gt;0,Data!H40,0)+Z38</f>
        <v>0</v>
      </c>
      <c r="AA39" s="9">
        <f>IF(Data!I40&gt;0,Data!I40,0)+AA38</f>
        <v>0</v>
      </c>
    </row>
    <row r="40" spans="10:27" x14ac:dyDescent="0.25">
      <c r="J40" s="8">
        <v>46060</v>
      </c>
      <c r="K40" s="9">
        <v>143</v>
      </c>
      <c r="L40" s="9">
        <f>IF(Data!B41-4&gt;0,Data!B41-4,0)+L39</f>
        <v>0</v>
      </c>
      <c r="M40" s="9">
        <f>IF(Data!C41-4&gt;0,Data!C41-4,0)+M39</f>
        <v>0</v>
      </c>
      <c r="N40" s="9">
        <f>IF(Data!D41-4&gt;0,Data!D41-4,0)+N39</f>
        <v>0</v>
      </c>
      <c r="O40" s="9">
        <f>IF(Data!E41-4&gt;0,Data!E41-4,0)+O39</f>
        <v>0</v>
      </c>
      <c r="P40" s="9">
        <f>IF(Data!F41-4&gt;0,Data!F41-4,0)+P39</f>
        <v>0</v>
      </c>
      <c r="Q40" s="9">
        <f>IF(Data!G41-4&gt;0,Data!G41-4,0)+Q39</f>
        <v>0</v>
      </c>
      <c r="R40" s="9">
        <f>IF(Data!H41-4&gt;0,Data!H41-4,0)+R39</f>
        <v>0</v>
      </c>
      <c r="S40" s="9">
        <f>IF(Data!I41-4&gt;0,Data!I41-4,0)+S39</f>
        <v>0</v>
      </c>
      <c r="T40" s="9">
        <f>IF(Data!B41&gt;0,Data!B41,0)+T39</f>
        <v>0</v>
      </c>
      <c r="U40" s="9">
        <f>IF(Data!C41&gt;0,Data!C41,0)+U39</f>
        <v>0</v>
      </c>
      <c r="V40" s="9">
        <f>IF(Data!D41&gt;0,Data!D41,0)+V39</f>
        <v>0</v>
      </c>
      <c r="W40" s="9">
        <f>IF(Data!E41&gt;0,Data!E41,0)+W39</f>
        <v>0</v>
      </c>
      <c r="X40" s="9">
        <f>IF(Data!F41&gt;0,Data!F41,0)+X39</f>
        <v>0</v>
      </c>
      <c r="Y40" s="9">
        <f>IF(Data!G41&gt;0,Data!G41,0)+Y39</f>
        <v>0</v>
      </c>
      <c r="Z40" s="9">
        <f>IF(Data!H41&gt;0,Data!H41,0)+Z39</f>
        <v>0</v>
      </c>
      <c r="AA40" s="9">
        <f>IF(Data!I41&gt;0,Data!I41,0)+AA39</f>
        <v>0</v>
      </c>
    </row>
    <row r="41" spans="10:27" x14ac:dyDescent="0.25">
      <c r="J41" s="8">
        <v>46061</v>
      </c>
      <c r="K41" s="9">
        <v>143</v>
      </c>
      <c r="L41" s="9">
        <f>IF(Data!B42-4&gt;0,Data!B42-4,0)+L40</f>
        <v>0</v>
      </c>
      <c r="M41" s="9">
        <f>IF(Data!C42-4&gt;0,Data!C42-4,0)+M40</f>
        <v>0</v>
      </c>
      <c r="N41" s="9">
        <f>IF(Data!D42-4&gt;0,Data!D42-4,0)+N40</f>
        <v>0</v>
      </c>
      <c r="O41" s="9">
        <f>IF(Data!E42-4&gt;0,Data!E42-4,0)+O40</f>
        <v>0</v>
      </c>
      <c r="P41" s="9">
        <f>IF(Data!F42-4&gt;0,Data!F42-4,0)+P40</f>
        <v>0</v>
      </c>
      <c r="Q41" s="9">
        <f>IF(Data!G42-4&gt;0,Data!G42-4,0)+Q40</f>
        <v>0</v>
      </c>
      <c r="R41" s="9">
        <f>IF(Data!H42-4&gt;0,Data!H42-4,0)+R40</f>
        <v>0</v>
      </c>
      <c r="S41" s="9">
        <f>IF(Data!I42-4&gt;0,Data!I42-4,0)+S40</f>
        <v>0</v>
      </c>
      <c r="T41" s="9">
        <f>IF(Data!B42&gt;0,Data!B42,0)+T40</f>
        <v>0</v>
      </c>
      <c r="U41" s="9">
        <f>IF(Data!C42&gt;0,Data!C42,0)+U40</f>
        <v>0</v>
      </c>
      <c r="V41" s="9">
        <f>IF(Data!D42&gt;0,Data!D42,0)+V40</f>
        <v>0</v>
      </c>
      <c r="W41" s="9">
        <f>IF(Data!E42&gt;0,Data!E42,0)+W40</f>
        <v>0</v>
      </c>
      <c r="X41" s="9">
        <f>IF(Data!F42&gt;0,Data!F42,0)+X40</f>
        <v>0</v>
      </c>
      <c r="Y41" s="9">
        <f>IF(Data!G42&gt;0,Data!G42,0)+Y40</f>
        <v>0</v>
      </c>
      <c r="Z41" s="9">
        <f>IF(Data!H42&gt;0,Data!H42,0)+Z40</f>
        <v>0</v>
      </c>
      <c r="AA41" s="9">
        <f>IF(Data!I42&gt;0,Data!I42,0)+AA40</f>
        <v>0</v>
      </c>
    </row>
    <row r="42" spans="10:27" x14ac:dyDescent="0.25">
      <c r="J42" s="8">
        <v>46062</v>
      </c>
      <c r="K42" s="9">
        <v>143</v>
      </c>
      <c r="L42" s="9">
        <f>IF(Data!B43-4&gt;0,Data!B43-4,0)+L41</f>
        <v>0</v>
      </c>
      <c r="M42" s="9">
        <f>IF(Data!C43-4&gt;0,Data!C43-4,0)+M41</f>
        <v>0</v>
      </c>
      <c r="N42" s="9">
        <f>IF(Data!D43-4&gt;0,Data!D43-4,0)+N41</f>
        <v>0</v>
      </c>
      <c r="O42" s="9">
        <f>IF(Data!E43-4&gt;0,Data!E43-4,0)+O41</f>
        <v>0</v>
      </c>
      <c r="P42" s="9">
        <f>IF(Data!F43-4&gt;0,Data!F43-4,0)+P41</f>
        <v>0</v>
      </c>
      <c r="Q42" s="9">
        <f>IF(Data!G43-4&gt;0,Data!G43-4,0)+Q41</f>
        <v>0</v>
      </c>
      <c r="R42" s="9">
        <f>IF(Data!H43-4&gt;0,Data!H43-4,0)+R41</f>
        <v>0</v>
      </c>
      <c r="S42" s="9">
        <f>IF(Data!I43-4&gt;0,Data!I43-4,0)+S41</f>
        <v>0</v>
      </c>
      <c r="T42" s="9">
        <f>IF(Data!B43&gt;0,Data!B43,0)+T41</f>
        <v>0</v>
      </c>
      <c r="U42" s="9">
        <f>IF(Data!C43&gt;0,Data!C43,0)+U41</f>
        <v>0</v>
      </c>
      <c r="V42" s="9">
        <f>IF(Data!D43&gt;0,Data!D43,0)+V41</f>
        <v>0</v>
      </c>
      <c r="W42" s="9">
        <f>IF(Data!E43&gt;0,Data!E43,0)+W41</f>
        <v>0</v>
      </c>
      <c r="X42" s="9">
        <f>IF(Data!F43&gt;0,Data!F43,0)+X41</f>
        <v>0</v>
      </c>
      <c r="Y42" s="9">
        <f>IF(Data!G43&gt;0,Data!G43,0)+Y41</f>
        <v>0</v>
      </c>
      <c r="Z42" s="9">
        <f>IF(Data!H43&gt;0,Data!H43,0)+Z41</f>
        <v>0</v>
      </c>
      <c r="AA42" s="9">
        <f>IF(Data!I43&gt;0,Data!I43,0)+AA41</f>
        <v>0</v>
      </c>
    </row>
    <row r="43" spans="10:27" x14ac:dyDescent="0.25">
      <c r="J43" s="8">
        <v>46063</v>
      </c>
      <c r="K43" s="9">
        <v>143</v>
      </c>
      <c r="L43" s="9">
        <f>IF(Data!B44-4&gt;0,Data!B44-4,0)+L42</f>
        <v>0</v>
      </c>
      <c r="M43" s="9">
        <f>IF(Data!C44-4&gt;0,Data!C44-4,0)+M42</f>
        <v>0</v>
      </c>
      <c r="N43" s="9">
        <f>IF(Data!D44-4&gt;0,Data!D44-4,0)+N42</f>
        <v>0</v>
      </c>
      <c r="O43" s="9">
        <f>IF(Data!E44-4&gt;0,Data!E44-4,0)+O42</f>
        <v>0</v>
      </c>
      <c r="P43" s="9">
        <f>IF(Data!F44-4&gt;0,Data!F44-4,0)+P42</f>
        <v>0</v>
      </c>
      <c r="Q43" s="9">
        <f>IF(Data!G44-4&gt;0,Data!G44-4,0)+Q42</f>
        <v>0</v>
      </c>
      <c r="R43" s="9">
        <f>IF(Data!H44-4&gt;0,Data!H44-4,0)+R42</f>
        <v>0</v>
      </c>
      <c r="S43" s="9">
        <f>IF(Data!I44-4&gt;0,Data!I44-4,0)+S42</f>
        <v>0</v>
      </c>
      <c r="T43" s="9">
        <f>IF(Data!B44&gt;0,Data!B44,0)+T42</f>
        <v>0</v>
      </c>
      <c r="U43" s="9">
        <f>IF(Data!C44&gt;0,Data!C44,0)+U42</f>
        <v>0</v>
      </c>
      <c r="V43" s="9">
        <f>IF(Data!D44&gt;0,Data!D44,0)+V42</f>
        <v>0</v>
      </c>
      <c r="W43" s="9">
        <f>IF(Data!E44&gt;0,Data!E44,0)+W42</f>
        <v>0</v>
      </c>
      <c r="X43" s="9">
        <f>IF(Data!F44&gt;0,Data!F44,0)+X42</f>
        <v>0</v>
      </c>
      <c r="Y43" s="9">
        <f>IF(Data!G44&gt;0,Data!G44,0)+Y42</f>
        <v>0</v>
      </c>
      <c r="Z43" s="9">
        <f>IF(Data!H44&gt;0,Data!H44,0)+Z42</f>
        <v>0</v>
      </c>
      <c r="AA43" s="9">
        <f>IF(Data!I44&gt;0,Data!I44,0)+AA42</f>
        <v>0</v>
      </c>
    </row>
    <row r="44" spans="10:27" x14ac:dyDescent="0.25">
      <c r="J44" s="8">
        <v>46064</v>
      </c>
      <c r="K44" s="9">
        <v>143</v>
      </c>
      <c r="L44" s="9">
        <f>IF(Data!B45-4&gt;0,Data!B45-4,0)+L43</f>
        <v>0</v>
      </c>
      <c r="M44" s="9">
        <f>IF(Data!C45-4&gt;0,Data!C45-4,0)+M43</f>
        <v>0</v>
      </c>
      <c r="N44" s="9">
        <f>IF(Data!D45-4&gt;0,Data!D45-4,0)+N43</f>
        <v>0</v>
      </c>
      <c r="O44" s="9">
        <f>IF(Data!E45-4&gt;0,Data!E45-4,0)+O43</f>
        <v>0</v>
      </c>
      <c r="P44" s="9">
        <f>IF(Data!F45-4&gt;0,Data!F45-4,0)+P43</f>
        <v>0</v>
      </c>
      <c r="Q44" s="9">
        <f>IF(Data!G45-4&gt;0,Data!G45-4,0)+Q43</f>
        <v>0</v>
      </c>
      <c r="R44" s="9">
        <f>IF(Data!H45-4&gt;0,Data!H45-4,0)+R43</f>
        <v>0</v>
      </c>
      <c r="S44" s="9">
        <f>IF(Data!I45-4&gt;0,Data!I45-4,0)+S43</f>
        <v>0</v>
      </c>
      <c r="T44" s="9">
        <f>IF(Data!B45&gt;0,Data!B45,0)+T43</f>
        <v>0</v>
      </c>
      <c r="U44" s="9">
        <f>IF(Data!C45&gt;0,Data!C45,0)+U43</f>
        <v>0</v>
      </c>
      <c r="V44" s="9">
        <f>IF(Data!D45&gt;0,Data!D45,0)+V43</f>
        <v>0</v>
      </c>
      <c r="W44" s="9">
        <f>IF(Data!E45&gt;0,Data!E45,0)+W43</f>
        <v>0</v>
      </c>
      <c r="X44" s="9">
        <f>IF(Data!F45&gt;0,Data!F45,0)+X43</f>
        <v>0</v>
      </c>
      <c r="Y44" s="9">
        <f>IF(Data!G45&gt;0,Data!G45,0)+Y43</f>
        <v>0</v>
      </c>
      <c r="Z44" s="9">
        <f>IF(Data!H45&gt;0,Data!H45,0)+Z43</f>
        <v>0</v>
      </c>
      <c r="AA44" s="9">
        <f>IF(Data!I45&gt;0,Data!I45,0)+AA43</f>
        <v>0</v>
      </c>
    </row>
    <row r="45" spans="10:27" x14ac:dyDescent="0.25">
      <c r="J45" s="8">
        <v>46065</v>
      </c>
      <c r="K45" s="9">
        <v>143</v>
      </c>
      <c r="L45" s="9">
        <f>IF(Data!B46-4&gt;0,Data!B46-4,0)+L44</f>
        <v>0</v>
      </c>
      <c r="M45" s="9">
        <f>IF(Data!C46-4&gt;0,Data!C46-4,0)+M44</f>
        <v>0</v>
      </c>
      <c r="N45" s="9">
        <f>IF(Data!D46-4&gt;0,Data!D46-4,0)+N44</f>
        <v>0</v>
      </c>
      <c r="O45" s="9">
        <f>IF(Data!E46-4&gt;0,Data!E46-4,0)+O44</f>
        <v>0</v>
      </c>
      <c r="P45" s="9">
        <f>IF(Data!F46-4&gt;0,Data!F46-4,0)+P44</f>
        <v>0</v>
      </c>
      <c r="Q45" s="9">
        <f>IF(Data!G46-4&gt;0,Data!G46-4,0)+Q44</f>
        <v>0</v>
      </c>
      <c r="R45" s="9">
        <f>IF(Data!H46-4&gt;0,Data!H46-4,0)+R44</f>
        <v>0</v>
      </c>
      <c r="S45" s="9">
        <f>IF(Data!I46-4&gt;0,Data!I46-4,0)+S44</f>
        <v>0</v>
      </c>
      <c r="T45" s="9">
        <f>IF(Data!B46&gt;0,Data!B46,0)+T44</f>
        <v>0</v>
      </c>
      <c r="U45" s="9">
        <f>IF(Data!C46&gt;0,Data!C46,0)+U44</f>
        <v>0</v>
      </c>
      <c r="V45" s="9">
        <f>IF(Data!D46&gt;0,Data!D46,0)+V44</f>
        <v>0</v>
      </c>
      <c r="W45" s="9">
        <f>IF(Data!E46&gt;0,Data!E46,0)+W44</f>
        <v>0</v>
      </c>
      <c r="X45" s="9">
        <f>IF(Data!F46&gt;0,Data!F46,0)+X44</f>
        <v>0</v>
      </c>
      <c r="Y45" s="9">
        <f>IF(Data!G46&gt;0,Data!G46,0)+Y44</f>
        <v>0</v>
      </c>
      <c r="Z45" s="9">
        <f>IF(Data!H46&gt;0,Data!H46,0)+Z44</f>
        <v>0</v>
      </c>
      <c r="AA45" s="9">
        <f>IF(Data!I46&gt;0,Data!I46,0)+AA44</f>
        <v>0</v>
      </c>
    </row>
    <row r="46" spans="10:27" x14ac:dyDescent="0.25">
      <c r="J46" s="8">
        <v>46066</v>
      </c>
      <c r="K46" s="9">
        <v>143</v>
      </c>
      <c r="L46" s="9">
        <f>IF(Data!B47-4&gt;0,Data!B47-4,0)+L45</f>
        <v>0</v>
      </c>
      <c r="M46" s="9">
        <f>IF(Data!C47-4&gt;0,Data!C47-4,0)+M45</f>
        <v>0</v>
      </c>
      <c r="N46" s="9">
        <f>IF(Data!D47-4&gt;0,Data!D47-4,0)+N45</f>
        <v>0</v>
      </c>
      <c r="O46" s="9">
        <f>IF(Data!E47-4&gt;0,Data!E47-4,0)+O45</f>
        <v>0</v>
      </c>
      <c r="P46" s="9">
        <f>IF(Data!F47-4&gt;0,Data!F47-4,0)+P45</f>
        <v>0</v>
      </c>
      <c r="Q46" s="9">
        <f>IF(Data!G47-4&gt;0,Data!G47-4,0)+Q45</f>
        <v>0</v>
      </c>
      <c r="R46" s="9">
        <f>IF(Data!H47-4&gt;0,Data!H47-4,0)+R45</f>
        <v>0</v>
      </c>
      <c r="S46" s="9">
        <f>IF(Data!I47-4&gt;0,Data!I47-4,0)+S45</f>
        <v>0</v>
      </c>
      <c r="T46" s="9">
        <f>IF(Data!B47&gt;0,Data!B47,0)+T45</f>
        <v>0</v>
      </c>
      <c r="U46" s="9">
        <f>IF(Data!C47&gt;0,Data!C47,0)+U45</f>
        <v>0</v>
      </c>
      <c r="V46" s="9">
        <f>IF(Data!D47&gt;0,Data!D47,0)+V45</f>
        <v>0</v>
      </c>
      <c r="W46" s="9">
        <f>IF(Data!E47&gt;0,Data!E47,0)+W45</f>
        <v>0</v>
      </c>
      <c r="X46" s="9">
        <f>IF(Data!F47&gt;0,Data!F47,0)+X45</f>
        <v>0</v>
      </c>
      <c r="Y46" s="9">
        <f>IF(Data!G47&gt;0,Data!G47,0)+Y45</f>
        <v>0</v>
      </c>
      <c r="Z46" s="9">
        <f>IF(Data!H47&gt;0,Data!H47,0)+Z45</f>
        <v>0</v>
      </c>
      <c r="AA46" s="9">
        <f>IF(Data!I47&gt;0,Data!I47,0)+AA45</f>
        <v>0</v>
      </c>
    </row>
    <row r="47" spans="10:27" x14ac:dyDescent="0.25">
      <c r="J47" s="8">
        <v>46067</v>
      </c>
      <c r="K47" s="9">
        <v>143</v>
      </c>
      <c r="L47" s="9">
        <f>IF(Data!B48-4&gt;0,Data!B48-4,0)+L46</f>
        <v>0</v>
      </c>
      <c r="M47" s="9">
        <f>IF(Data!C48-4&gt;0,Data!C48-4,0)+M46</f>
        <v>0</v>
      </c>
      <c r="N47" s="9">
        <f>IF(Data!D48-4&gt;0,Data!D48-4,0)+N46</f>
        <v>0</v>
      </c>
      <c r="O47" s="9">
        <f>IF(Data!E48-4&gt;0,Data!E48-4,0)+O46</f>
        <v>0</v>
      </c>
      <c r="P47" s="9">
        <f>IF(Data!F48-4&gt;0,Data!F48-4,0)+P46</f>
        <v>0</v>
      </c>
      <c r="Q47" s="9">
        <f>IF(Data!G48-4&gt;0,Data!G48-4,0)+Q46</f>
        <v>0</v>
      </c>
      <c r="R47" s="9">
        <f>IF(Data!H48-4&gt;0,Data!H48-4,0)+R46</f>
        <v>0</v>
      </c>
      <c r="S47" s="9">
        <f>IF(Data!I48-4&gt;0,Data!I48-4,0)+S46</f>
        <v>0</v>
      </c>
      <c r="T47" s="9">
        <f>IF(Data!B48&gt;0,Data!B48,0)+T46</f>
        <v>0</v>
      </c>
      <c r="U47" s="9">
        <f>IF(Data!C48&gt;0,Data!C48,0)+U46</f>
        <v>0</v>
      </c>
      <c r="V47" s="9">
        <f>IF(Data!D48&gt;0,Data!D48,0)+V46</f>
        <v>0</v>
      </c>
      <c r="W47" s="9">
        <f>IF(Data!E48&gt;0,Data!E48,0)+W46</f>
        <v>0</v>
      </c>
      <c r="X47" s="9">
        <f>IF(Data!F48&gt;0,Data!F48,0)+X46</f>
        <v>0</v>
      </c>
      <c r="Y47" s="9">
        <f>IF(Data!G48&gt;0,Data!G48,0)+Y46</f>
        <v>0</v>
      </c>
      <c r="Z47" s="9">
        <f>IF(Data!H48&gt;0,Data!H48,0)+Z46</f>
        <v>0</v>
      </c>
      <c r="AA47" s="9">
        <f>IF(Data!I48&gt;0,Data!I48,0)+AA46</f>
        <v>0</v>
      </c>
    </row>
    <row r="48" spans="10:27" x14ac:dyDescent="0.25">
      <c r="J48" s="8">
        <v>46068</v>
      </c>
      <c r="K48" s="9">
        <v>143</v>
      </c>
      <c r="L48" s="9">
        <f>IF(Data!B49-4&gt;0,Data!B49-4,0)+L47</f>
        <v>0</v>
      </c>
      <c r="M48" s="9">
        <f>IF(Data!C49-4&gt;0,Data!C49-4,0)+M47</f>
        <v>0</v>
      </c>
      <c r="N48" s="9">
        <f>IF(Data!D49-4&gt;0,Data!D49-4,0)+N47</f>
        <v>0</v>
      </c>
      <c r="O48" s="9">
        <f>IF(Data!E49-4&gt;0,Data!E49-4,0)+O47</f>
        <v>0</v>
      </c>
      <c r="P48" s="9">
        <f>IF(Data!F49-4&gt;0,Data!F49-4,0)+P47</f>
        <v>0</v>
      </c>
      <c r="Q48" s="9">
        <f>IF(Data!G49-4&gt;0,Data!G49-4,0)+Q47</f>
        <v>0</v>
      </c>
      <c r="R48" s="9">
        <f>IF(Data!H49-4&gt;0,Data!H49-4,0)+R47</f>
        <v>0</v>
      </c>
      <c r="S48" s="9">
        <f>IF(Data!I49-4&gt;0,Data!I49-4,0)+S47</f>
        <v>0</v>
      </c>
      <c r="T48" s="9">
        <f>IF(Data!B49&gt;0,Data!B49,0)+T47</f>
        <v>0</v>
      </c>
      <c r="U48" s="9">
        <f>IF(Data!C49&gt;0,Data!C49,0)+U47</f>
        <v>0</v>
      </c>
      <c r="V48" s="9">
        <f>IF(Data!D49&gt;0,Data!D49,0)+V47</f>
        <v>0</v>
      </c>
      <c r="W48" s="9">
        <f>IF(Data!E49&gt;0,Data!E49,0)+W47</f>
        <v>0</v>
      </c>
      <c r="X48" s="9">
        <f>IF(Data!F49&gt;0,Data!F49,0)+X47</f>
        <v>0</v>
      </c>
      <c r="Y48" s="9">
        <f>IF(Data!G49&gt;0,Data!G49,0)+Y47</f>
        <v>0</v>
      </c>
      <c r="Z48" s="9">
        <f>IF(Data!H49&gt;0,Data!H49,0)+Z47</f>
        <v>0</v>
      </c>
      <c r="AA48" s="9">
        <f>IF(Data!I49&gt;0,Data!I49,0)+AA47</f>
        <v>0</v>
      </c>
    </row>
    <row r="49" spans="10:27" x14ac:dyDescent="0.25">
      <c r="J49" s="8">
        <v>46069</v>
      </c>
      <c r="K49" s="9">
        <v>143</v>
      </c>
      <c r="L49" s="9">
        <f>IF(Data!B50-4&gt;0,Data!B50-4,0)+L48</f>
        <v>0</v>
      </c>
      <c r="M49" s="9">
        <f>IF(Data!C50-4&gt;0,Data!C50-4,0)+M48</f>
        <v>0</v>
      </c>
      <c r="N49" s="9">
        <f>IF(Data!D50-4&gt;0,Data!D50-4,0)+N48</f>
        <v>0</v>
      </c>
      <c r="O49" s="9">
        <f>IF(Data!E50-4&gt;0,Data!E50-4,0)+O48</f>
        <v>0</v>
      </c>
      <c r="P49" s="9">
        <f>IF(Data!F50-4&gt;0,Data!F50-4,0)+P48</f>
        <v>0</v>
      </c>
      <c r="Q49" s="9">
        <f>IF(Data!G50-4&gt;0,Data!G50-4,0)+Q48</f>
        <v>0</v>
      </c>
      <c r="R49" s="9">
        <f>IF(Data!H50-4&gt;0,Data!H50-4,0)+R48</f>
        <v>0</v>
      </c>
      <c r="S49" s="9">
        <f>IF(Data!I50-4&gt;0,Data!I50-4,0)+S48</f>
        <v>0</v>
      </c>
      <c r="T49" s="9">
        <f>IF(Data!B50&gt;0,Data!B50,0)+T48</f>
        <v>0</v>
      </c>
      <c r="U49" s="9">
        <f>IF(Data!C50&gt;0,Data!C50,0)+U48</f>
        <v>0</v>
      </c>
      <c r="V49" s="9">
        <f>IF(Data!D50&gt;0,Data!D50,0)+V48</f>
        <v>0</v>
      </c>
      <c r="W49" s="9">
        <f>IF(Data!E50&gt;0,Data!E50,0)+W48</f>
        <v>0</v>
      </c>
      <c r="X49" s="9">
        <f>IF(Data!F50&gt;0,Data!F50,0)+X48</f>
        <v>0</v>
      </c>
      <c r="Y49" s="9">
        <f>IF(Data!G50&gt;0,Data!G50,0)+Y48</f>
        <v>0</v>
      </c>
      <c r="Z49" s="9">
        <f>IF(Data!H50&gt;0,Data!H50,0)+Z48</f>
        <v>0</v>
      </c>
      <c r="AA49" s="9">
        <f>IF(Data!I50&gt;0,Data!I50,0)+AA48</f>
        <v>0</v>
      </c>
    </row>
    <row r="50" spans="10:27" x14ac:dyDescent="0.25">
      <c r="J50" s="8">
        <v>46070</v>
      </c>
      <c r="K50" s="9">
        <v>143</v>
      </c>
      <c r="L50" s="9">
        <f>IF(Data!B51-4&gt;0,Data!B51-4,0)+L49</f>
        <v>0</v>
      </c>
      <c r="M50" s="9">
        <f>IF(Data!C51-4&gt;0,Data!C51-4,0)+M49</f>
        <v>0</v>
      </c>
      <c r="N50" s="9">
        <f>IF(Data!D51-4&gt;0,Data!D51-4,0)+N49</f>
        <v>0</v>
      </c>
      <c r="O50" s="9">
        <f>IF(Data!E51-4&gt;0,Data!E51-4,0)+O49</f>
        <v>0</v>
      </c>
      <c r="P50" s="9">
        <f>IF(Data!F51-4&gt;0,Data!F51-4,0)+P49</f>
        <v>0</v>
      </c>
      <c r="Q50" s="9">
        <f>IF(Data!G51-4&gt;0,Data!G51-4,0)+Q49</f>
        <v>0</v>
      </c>
      <c r="R50" s="9">
        <f>IF(Data!H51-4&gt;0,Data!H51-4,0)+R49</f>
        <v>0</v>
      </c>
      <c r="S50" s="9">
        <f>IF(Data!I51-4&gt;0,Data!I51-4,0)+S49</f>
        <v>0</v>
      </c>
      <c r="T50" s="9">
        <f>IF(Data!B51&gt;0,Data!B51,0)+T49</f>
        <v>0</v>
      </c>
      <c r="U50" s="9">
        <f>IF(Data!C51&gt;0,Data!C51,0)+U49</f>
        <v>0</v>
      </c>
      <c r="V50" s="9">
        <f>IF(Data!D51&gt;0,Data!D51,0)+V49</f>
        <v>0</v>
      </c>
      <c r="W50" s="9">
        <f>IF(Data!E51&gt;0,Data!E51,0)+W49</f>
        <v>0</v>
      </c>
      <c r="X50" s="9">
        <f>IF(Data!F51&gt;0,Data!F51,0)+X49</f>
        <v>0</v>
      </c>
      <c r="Y50" s="9">
        <f>IF(Data!G51&gt;0,Data!G51,0)+Y49</f>
        <v>0</v>
      </c>
      <c r="Z50" s="9">
        <f>IF(Data!H51&gt;0,Data!H51,0)+Z49</f>
        <v>0</v>
      </c>
      <c r="AA50" s="9">
        <f>IF(Data!I51&gt;0,Data!I51,0)+AA49</f>
        <v>0</v>
      </c>
    </row>
    <row r="51" spans="10:27" x14ac:dyDescent="0.25">
      <c r="J51" s="8">
        <v>46071</v>
      </c>
      <c r="K51" s="9">
        <v>143</v>
      </c>
      <c r="L51" s="9">
        <f>IF(Data!B52-4&gt;0,Data!B52-4,0)+L50</f>
        <v>0</v>
      </c>
      <c r="M51" s="9">
        <f>IF(Data!C52-4&gt;0,Data!C52-4,0)+M50</f>
        <v>0</v>
      </c>
      <c r="N51" s="9">
        <f>IF(Data!D52-4&gt;0,Data!D52-4,0)+N50</f>
        <v>0</v>
      </c>
      <c r="O51" s="9">
        <f>IF(Data!E52-4&gt;0,Data!E52-4,0)+O50</f>
        <v>0</v>
      </c>
      <c r="P51" s="9">
        <f>IF(Data!F52-4&gt;0,Data!F52-4,0)+P50</f>
        <v>0</v>
      </c>
      <c r="Q51" s="9">
        <f>IF(Data!G52-4&gt;0,Data!G52-4,0)+Q50</f>
        <v>0</v>
      </c>
      <c r="R51" s="9">
        <f>IF(Data!H52-4&gt;0,Data!H52-4,0)+R50</f>
        <v>0</v>
      </c>
      <c r="S51" s="9">
        <f>IF(Data!I52-4&gt;0,Data!I52-4,0)+S50</f>
        <v>0</v>
      </c>
      <c r="T51" s="9">
        <f>IF(Data!B52&gt;0,Data!B52,0)+T50</f>
        <v>0</v>
      </c>
      <c r="U51" s="9">
        <f>IF(Data!C52&gt;0,Data!C52,0)+U50</f>
        <v>0</v>
      </c>
      <c r="V51" s="9">
        <f>IF(Data!D52&gt;0,Data!D52,0)+V50</f>
        <v>0</v>
      </c>
      <c r="W51" s="9">
        <f>IF(Data!E52&gt;0,Data!E52,0)+W50</f>
        <v>0</v>
      </c>
      <c r="X51" s="9">
        <f>IF(Data!F52&gt;0,Data!F52,0)+X50</f>
        <v>0</v>
      </c>
      <c r="Y51" s="9">
        <f>IF(Data!G52&gt;0,Data!G52,0)+Y50</f>
        <v>0</v>
      </c>
      <c r="Z51" s="9">
        <f>IF(Data!H52&gt;0,Data!H52,0)+Z50</f>
        <v>0</v>
      </c>
      <c r="AA51" s="9">
        <f>IF(Data!I52&gt;0,Data!I52,0)+AA50</f>
        <v>0</v>
      </c>
    </row>
    <row r="52" spans="10:27" x14ac:dyDescent="0.25">
      <c r="J52" s="8">
        <v>46072</v>
      </c>
      <c r="K52" s="9">
        <v>143</v>
      </c>
      <c r="L52" s="9">
        <f>IF(Data!B53-4&gt;0,Data!B53-4,0)+L51</f>
        <v>0</v>
      </c>
      <c r="M52" s="9">
        <f>IF(Data!C53-4&gt;0,Data!C53-4,0)+M51</f>
        <v>0</v>
      </c>
      <c r="N52" s="9">
        <f>IF(Data!D53-4&gt;0,Data!D53-4,0)+N51</f>
        <v>0</v>
      </c>
      <c r="O52" s="9">
        <f>IF(Data!E53-4&gt;0,Data!E53-4,0)+O51</f>
        <v>0</v>
      </c>
      <c r="P52" s="9">
        <f>IF(Data!F53-4&gt;0,Data!F53-4,0)+P51</f>
        <v>0</v>
      </c>
      <c r="Q52" s="9">
        <f>IF(Data!G53-4&gt;0,Data!G53-4,0)+Q51</f>
        <v>0</v>
      </c>
      <c r="R52" s="9">
        <f>IF(Data!H53-4&gt;0,Data!H53-4,0)+R51</f>
        <v>0</v>
      </c>
      <c r="S52" s="9">
        <f>IF(Data!I53-4&gt;0,Data!I53-4,0)+S51</f>
        <v>0</v>
      </c>
      <c r="T52" s="9">
        <f>IF(Data!B53&gt;0,Data!B53,0)+T51</f>
        <v>0</v>
      </c>
      <c r="U52" s="9">
        <f>IF(Data!C53&gt;0,Data!C53,0)+U51</f>
        <v>0</v>
      </c>
      <c r="V52" s="9">
        <f>IF(Data!D53&gt;0,Data!D53,0)+V51</f>
        <v>0</v>
      </c>
      <c r="W52" s="9">
        <f>IF(Data!E53&gt;0,Data!E53,0)+W51</f>
        <v>0</v>
      </c>
      <c r="X52" s="9">
        <f>IF(Data!F53&gt;0,Data!F53,0)+X51</f>
        <v>0</v>
      </c>
      <c r="Y52" s="9">
        <f>IF(Data!G53&gt;0,Data!G53,0)+Y51</f>
        <v>0</v>
      </c>
      <c r="Z52" s="9">
        <f>IF(Data!H53&gt;0,Data!H53,0)+Z51</f>
        <v>0</v>
      </c>
      <c r="AA52" s="9">
        <f>IF(Data!I53&gt;0,Data!I53,0)+AA51</f>
        <v>0</v>
      </c>
    </row>
    <row r="53" spans="10:27" x14ac:dyDescent="0.25">
      <c r="J53" s="8">
        <v>46073</v>
      </c>
      <c r="K53" s="9">
        <v>143</v>
      </c>
      <c r="L53" s="9">
        <f>IF(Data!B54-4&gt;0,Data!B54-4,0)+L52</f>
        <v>0</v>
      </c>
      <c r="M53" s="9">
        <f>IF(Data!C54-4&gt;0,Data!C54-4,0)+M52</f>
        <v>0</v>
      </c>
      <c r="N53" s="9">
        <f>IF(Data!D54-4&gt;0,Data!D54-4,0)+N52</f>
        <v>0</v>
      </c>
      <c r="O53" s="9">
        <f>IF(Data!E54-4&gt;0,Data!E54-4,0)+O52</f>
        <v>0</v>
      </c>
      <c r="P53" s="9">
        <f>IF(Data!F54-4&gt;0,Data!F54-4,0)+P52</f>
        <v>0</v>
      </c>
      <c r="Q53" s="9">
        <f>IF(Data!G54-4&gt;0,Data!G54-4,0)+Q52</f>
        <v>0</v>
      </c>
      <c r="R53" s="9">
        <f>IF(Data!H54-4&gt;0,Data!H54-4,0)+R52</f>
        <v>0</v>
      </c>
      <c r="S53" s="9">
        <f>IF(Data!I54-4&gt;0,Data!I54-4,0)+S52</f>
        <v>0</v>
      </c>
      <c r="T53" s="9">
        <f>IF(Data!B54&gt;0,Data!B54,0)+T52</f>
        <v>0</v>
      </c>
      <c r="U53" s="9">
        <f>IF(Data!C54&gt;0,Data!C54,0)+U52</f>
        <v>0</v>
      </c>
      <c r="V53" s="9">
        <f>IF(Data!D54&gt;0,Data!D54,0)+V52</f>
        <v>0</v>
      </c>
      <c r="W53" s="9">
        <f>IF(Data!E54&gt;0,Data!E54,0)+W52</f>
        <v>0</v>
      </c>
      <c r="X53" s="9">
        <f>IF(Data!F54&gt;0,Data!F54,0)+X52</f>
        <v>0</v>
      </c>
      <c r="Y53" s="9">
        <f>IF(Data!G54&gt;0,Data!G54,0)+Y52</f>
        <v>0</v>
      </c>
      <c r="Z53" s="9">
        <f>IF(Data!H54&gt;0,Data!H54,0)+Z52</f>
        <v>0</v>
      </c>
      <c r="AA53" s="9">
        <f>IF(Data!I54&gt;0,Data!I54,0)+AA52</f>
        <v>0</v>
      </c>
    </row>
    <row r="54" spans="10:27" x14ac:dyDescent="0.25">
      <c r="J54" s="8">
        <v>46074</v>
      </c>
      <c r="K54" s="9">
        <v>143</v>
      </c>
      <c r="L54" s="9">
        <f>IF(Data!B55-4&gt;0,Data!B55-4,0)+L53</f>
        <v>0</v>
      </c>
      <c r="M54" s="9">
        <f>IF(Data!C55-4&gt;0,Data!C55-4,0)+M53</f>
        <v>0</v>
      </c>
      <c r="N54" s="9">
        <f>IF(Data!D55-4&gt;0,Data!D55-4,0)+N53</f>
        <v>0</v>
      </c>
      <c r="O54" s="9">
        <f>IF(Data!E55-4&gt;0,Data!E55-4,0)+O53</f>
        <v>0</v>
      </c>
      <c r="P54" s="9">
        <f>IF(Data!F55-4&gt;0,Data!F55-4,0)+P53</f>
        <v>0</v>
      </c>
      <c r="Q54" s="9">
        <f>IF(Data!G55-4&gt;0,Data!G55-4,0)+Q53</f>
        <v>0</v>
      </c>
      <c r="R54" s="9">
        <f>IF(Data!H55-4&gt;0,Data!H55-4,0)+R53</f>
        <v>0</v>
      </c>
      <c r="S54" s="9">
        <f>IF(Data!I55-4&gt;0,Data!I55-4,0)+S53</f>
        <v>0</v>
      </c>
      <c r="T54" s="9">
        <f>IF(Data!B55&gt;0,Data!B55,0)+T53</f>
        <v>0</v>
      </c>
      <c r="U54" s="9">
        <f>IF(Data!C55&gt;0,Data!C55,0)+U53</f>
        <v>0</v>
      </c>
      <c r="V54" s="9">
        <f>IF(Data!D55&gt;0,Data!D55,0)+V53</f>
        <v>0</v>
      </c>
      <c r="W54" s="9">
        <f>IF(Data!E55&gt;0,Data!E55,0)+W53</f>
        <v>0</v>
      </c>
      <c r="X54" s="9">
        <f>IF(Data!F55&gt;0,Data!F55,0)+X53</f>
        <v>0</v>
      </c>
      <c r="Y54" s="9">
        <f>IF(Data!G55&gt;0,Data!G55,0)+Y53</f>
        <v>0</v>
      </c>
      <c r="Z54" s="9">
        <f>IF(Data!H55&gt;0,Data!H55,0)+Z53</f>
        <v>0</v>
      </c>
      <c r="AA54" s="9">
        <f>IF(Data!I55&gt;0,Data!I55,0)+AA53</f>
        <v>0</v>
      </c>
    </row>
    <row r="55" spans="10:27" x14ac:dyDescent="0.25">
      <c r="J55" s="8">
        <v>46075</v>
      </c>
      <c r="K55" s="9">
        <v>143</v>
      </c>
      <c r="L55" s="9">
        <f>IF(Data!B56-4&gt;0,Data!B56-4,0)+L54</f>
        <v>0</v>
      </c>
      <c r="M55" s="9">
        <f>IF(Data!C56-4&gt;0,Data!C56-4,0)+M54</f>
        <v>0</v>
      </c>
      <c r="N55" s="9">
        <f>IF(Data!D56-4&gt;0,Data!D56-4,0)+N54</f>
        <v>0</v>
      </c>
      <c r="O55" s="9">
        <f>IF(Data!E56-4&gt;0,Data!E56-4,0)+O54</f>
        <v>0</v>
      </c>
      <c r="P55" s="9">
        <f>IF(Data!F56-4&gt;0,Data!F56-4,0)+P54</f>
        <v>0</v>
      </c>
      <c r="Q55" s="9">
        <f>IF(Data!G56-4&gt;0,Data!G56-4,0)+Q54</f>
        <v>0</v>
      </c>
      <c r="R55" s="9">
        <f>IF(Data!H56-4&gt;0,Data!H56-4,0)+R54</f>
        <v>0</v>
      </c>
      <c r="S55" s="9">
        <f>IF(Data!I56-4&gt;0,Data!I56-4,0)+S54</f>
        <v>0</v>
      </c>
      <c r="T55" s="9">
        <f>IF(Data!B56&gt;0,Data!B56,0)+T54</f>
        <v>0</v>
      </c>
      <c r="U55" s="9">
        <f>IF(Data!C56&gt;0,Data!C56,0)+U54</f>
        <v>0</v>
      </c>
      <c r="V55" s="9">
        <f>IF(Data!D56&gt;0,Data!D56,0)+V54</f>
        <v>0</v>
      </c>
      <c r="W55" s="9">
        <f>IF(Data!E56&gt;0,Data!E56,0)+W54</f>
        <v>0</v>
      </c>
      <c r="X55" s="9">
        <f>IF(Data!F56&gt;0,Data!F56,0)+X54</f>
        <v>0</v>
      </c>
      <c r="Y55" s="9">
        <f>IF(Data!G56&gt;0,Data!G56,0)+Y54</f>
        <v>0</v>
      </c>
      <c r="Z55" s="9">
        <f>IF(Data!H56&gt;0,Data!H56,0)+Z54</f>
        <v>0</v>
      </c>
      <c r="AA55" s="9">
        <f>IF(Data!I56&gt;0,Data!I56,0)+AA54</f>
        <v>0</v>
      </c>
    </row>
    <row r="56" spans="10:27" x14ac:dyDescent="0.25">
      <c r="J56" s="8">
        <v>46076</v>
      </c>
      <c r="K56" s="9">
        <v>143</v>
      </c>
      <c r="L56" s="9">
        <f>IF(Data!B57-4&gt;0,Data!B57-4,0)+L55</f>
        <v>0</v>
      </c>
      <c r="M56" s="9">
        <f>IF(Data!C57-4&gt;0,Data!C57-4,0)+M55</f>
        <v>0</v>
      </c>
      <c r="N56" s="9">
        <f>IF(Data!D57-4&gt;0,Data!D57-4,0)+N55</f>
        <v>0</v>
      </c>
      <c r="O56" s="9">
        <f>IF(Data!E57-4&gt;0,Data!E57-4,0)+O55</f>
        <v>0</v>
      </c>
      <c r="P56" s="9">
        <f>IF(Data!F57-4&gt;0,Data!F57-4,0)+P55</f>
        <v>0</v>
      </c>
      <c r="Q56" s="9">
        <f>IF(Data!G57-4&gt;0,Data!G57-4,0)+Q55</f>
        <v>0</v>
      </c>
      <c r="R56" s="9">
        <f>IF(Data!H57-4&gt;0,Data!H57-4,0)+R55</f>
        <v>0</v>
      </c>
      <c r="S56" s="9">
        <f>IF(Data!I57-4&gt;0,Data!I57-4,0)+S55</f>
        <v>0</v>
      </c>
      <c r="T56" s="9">
        <f>IF(Data!B57&gt;0,Data!B57,0)+T55</f>
        <v>0</v>
      </c>
      <c r="U56" s="9">
        <f>IF(Data!C57&gt;0,Data!C57,0)+U55</f>
        <v>0</v>
      </c>
      <c r="V56" s="9">
        <f>IF(Data!D57&gt;0,Data!D57,0)+V55</f>
        <v>0</v>
      </c>
      <c r="W56" s="9">
        <f>IF(Data!E57&gt;0,Data!E57,0)+W55</f>
        <v>0</v>
      </c>
      <c r="X56" s="9">
        <f>IF(Data!F57&gt;0,Data!F57,0)+X55</f>
        <v>0</v>
      </c>
      <c r="Y56" s="9">
        <f>IF(Data!G57&gt;0,Data!G57,0)+Y55</f>
        <v>0</v>
      </c>
      <c r="Z56" s="9">
        <f>IF(Data!H57&gt;0,Data!H57,0)+Z55</f>
        <v>0</v>
      </c>
      <c r="AA56" s="9">
        <f>IF(Data!I57&gt;0,Data!I57,0)+AA55</f>
        <v>0</v>
      </c>
    </row>
    <row r="57" spans="10:27" x14ac:dyDescent="0.25">
      <c r="J57" s="8">
        <v>46077</v>
      </c>
      <c r="K57" s="9">
        <v>143</v>
      </c>
      <c r="L57" s="9">
        <f>IF(Data!B58-4&gt;0,Data!B58-4,0)+L56</f>
        <v>0</v>
      </c>
      <c r="M57" s="9">
        <f>IF(Data!C58-4&gt;0,Data!C58-4,0)+M56</f>
        <v>0</v>
      </c>
      <c r="N57" s="9">
        <f>IF(Data!D58-4&gt;0,Data!D58-4,0)+N56</f>
        <v>0</v>
      </c>
      <c r="O57" s="9">
        <f>IF(Data!E58-4&gt;0,Data!E58-4,0)+O56</f>
        <v>0</v>
      </c>
      <c r="P57" s="9">
        <f>IF(Data!F58-4&gt;0,Data!F58-4,0)+P56</f>
        <v>0</v>
      </c>
      <c r="Q57" s="9">
        <f>IF(Data!G58-4&gt;0,Data!G58-4,0)+Q56</f>
        <v>0</v>
      </c>
      <c r="R57" s="9">
        <f>IF(Data!H58-4&gt;0,Data!H58-4,0)+R56</f>
        <v>0</v>
      </c>
      <c r="S57" s="9">
        <f>IF(Data!I58-4&gt;0,Data!I58-4,0)+S56</f>
        <v>0</v>
      </c>
      <c r="T57" s="9">
        <f>IF(Data!B58&gt;0,Data!B58,0)+T56</f>
        <v>0</v>
      </c>
      <c r="U57" s="9">
        <f>IF(Data!C58&gt;0,Data!C58,0)+U56</f>
        <v>0</v>
      </c>
      <c r="V57" s="9">
        <f>IF(Data!D58&gt;0,Data!D58,0)+V56</f>
        <v>0</v>
      </c>
      <c r="W57" s="9">
        <f>IF(Data!E58&gt;0,Data!E58,0)+W56</f>
        <v>0</v>
      </c>
      <c r="X57" s="9">
        <f>IF(Data!F58&gt;0,Data!F58,0)+X56</f>
        <v>0</v>
      </c>
      <c r="Y57" s="9">
        <f>IF(Data!G58&gt;0,Data!G58,0)+Y56</f>
        <v>0</v>
      </c>
      <c r="Z57" s="9">
        <f>IF(Data!H58&gt;0,Data!H58,0)+Z56</f>
        <v>0</v>
      </c>
      <c r="AA57" s="9">
        <f>IF(Data!I58&gt;0,Data!I58,0)+AA56</f>
        <v>0</v>
      </c>
    </row>
    <row r="58" spans="10:27" x14ac:dyDescent="0.25">
      <c r="J58" s="8">
        <v>46078</v>
      </c>
      <c r="K58" s="9">
        <v>143</v>
      </c>
      <c r="L58" s="9">
        <f>IF(Data!B59-4&gt;0,Data!B59-4,0)+L57</f>
        <v>0</v>
      </c>
      <c r="M58" s="9">
        <f>IF(Data!C59-4&gt;0,Data!C59-4,0)+M57</f>
        <v>0</v>
      </c>
      <c r="N58" s="9">
        <f>IF(Data!D59-4&gt;0,Data!D59-4,0)+N57</f>
        <v>0</v>
      </c>
      <c r="O58" s="9">
        <f>IF(Data!E59-4&gt;0,Data!E59-4,0)+O57</f>
        <v>0</v>
      </c>
      <c r="P58" s="9">
        <f>IF(Data!F59-4&gt;0,Data!F59-4,0)+P57</f>
        <v>0</v>
      </c>
      <c r="Q58" s="9">
        <f>IF(Data!G59-4&gt;0,Data!G59-4,0)+Q57</f>
        <v>0</v>
      </c>
      <c r="R58" s="9">
        <f>IF(Data!H59-4&gt;0,Data!H59-4,0)+R57</f>
        <v>0</v>
      </c>
      <c r="S58" s="9">
        <f>IF(Data!I59-4&gt;0,Data!I59-4,0)+S57</f>
        <v>0</v>
      </c>
      <c r="T58" s="9">
        <f>IF(Data!B59&gt;0,Data!B59,0)+T57</f>
        <v>0</v>
      </c>
      <c r="U58" s="9">
        <f>IF(Data!C59&gt;0,Data!C59,0)+U57</f>
        <v>0</v>
      </c>
      <c r="V58" s="9">
        <f>IF(Data!D59&gt;0,Data!D59,0)+V57</f>
        <v>0</v>
      </c>
      <c r="W58" s="9">
        <f>IF(Data!E59&gt;0,Data!E59,0)+W57</f>
        <v>0</v>
      </c>
      <c r="X58" s="9">
        <f>IF(Data!F59&gt;0,Data!F59,0)+X57</f>
        <v>0</v>
      </c>
      <c r="Y58" s="9">
        <f>IF(Data!G59&gt;0,Data!G59,0)+Y57</f>
        <v>0</v>
      </c>
      <c r="Z58" s="9">
        <f>IF(Data!H59&gt;0,Data!H59,0)+Z57</f>
        <v>0</v>
      </c>
      <c r="AA58" s="9">
        <f>IF(Data!I59&gt;0,Data!I59,0)+AA57</f>
        <v>0</v>
      </c>
    </row>
    <row r="59" spans="10:27" x14ac:dyDescent="0.25">
      <c r="J59" s="8">
        <v>46079</v>
      </c>
      <c r="K59" s="9">
        <v>143</v>
      </c>
      <c r="L59" s="9">
        <f>IF(Data!B60-4&gt;0,Data!B60-4,0)+L58</f>
        <v>0</v>
      </c>
      <c r="M59" s="9">
        <f>IF(Data!C60-4&gt;0,Data!C60-4,0)+M58</f>
        <v>0</v>
      </c>
      <c r="N59" s="9">
        <f>IF(Data!D60-4&gt;0,Data!D60-4,0)+N58</f>
        <v>0</v>
      </c>
      <c r="O59" s="9">
        <f>IF(Data!E60-4&gt;0,Data!E60-4,0)+O58</f>
        <v>0</v>
      </c>
      <c r="P59" s="9">
        <f>IF(Data!F60-4&gt;0,Data!F60-4,0)+P58</f>
        <v>0</v>
      </c>
      <c r="Q59" s="9">
        <f>IF(Data!G60-4&gt;0,Data!G60-4,0)+Q58</f>
        <v>0</v>
      </c>
      <c r="R59" s="9">
        <f>IF(Data!H60-4&gt;0,Data!H60-4,0)+R58</f>
        <v>0</v>
      </c>
      <c r="S59" s="9">
        <f>IF(Data!I60-4&gt;0,Data!I60-4,0)+S58</f>
        <v>0</v>
      </c>
      <c r="T59" s="9">
        <f>IF(Data!B60&gt;0,Data!B60,0)+T58</f>
        <v>0</v>
      </c>
      <c r="U59" s="9">
        <f>IF(Data!C60&gt;0,Data!C60,0)+U58</f>
        <v>0</v>
      </c>
      <c r="V59" s="9">
        <f>IF(Data!D60&gt;0,Data!D60,0)+V58</f>
        <v>0</v>
      </c>
      <c r="W59" s="9">
        <f>IF(Data!E60&gt;0,Data!E60,0)+W58</f>
        <v>0</v>
      </c>
      <c r="X59" s="9">
        <f>IF(Data!F60&gt;0,Data!F60,0)+X58</f>
        <v>0</v>
      </c>
      <c r="Y59" s="9">
        <f>IF(Data!G60&gt;0,Data!G60,0)+Y58</f>
        <v>0</v>
      </c>
      <c r="Z59" s="9">
        <f>IF(Data!H60&gt;0,Data!H60,0)+Z58</f>
        <v>0</v>
      </c>
      <c r="AA59" s="9">
        <f>IF(Data!I60&gt;0,Data!I60,0)+AA58</f>
        <v>0</v>
      </c>
    </row>
    <row r="60" spans="10:27" x14ac:dyDescent="0.25">
      <c r="J60" s="8">
        <v>46080</v>
      </c>
      <c r="K60" s="9">
        <v>143</v>
      </c>
      <c r="L60" s="9">
        <f>IF(Data!B61-4&gt;0,Data!B61-4,0)+L59</f>
        <v>0</v>
      </c>
      <c r="M60" s="9">
        <f>IF(Data!C61-4&gt;0,Data!C61-4,0)+M59</f>
        <v>0</v>
      </c>
      <c r="N60" s="9">
        <f>IF(Data!D61-4&gt;0,Data!D61-4,0)+N59</f>
        <v>0</v>
      </c>
      <c r="O60" s="9">
        <f>IF(Data!E61-4&gt;0,Data!E61-4,0)+O59</f>
        <v>0</v>
      </c>
      <c r="P60" s="9">
        <f>IF(Data!F61-4&gt;0,Data!F61-4,0)+P59</f>
        <v>0</v>
      </c>
      <c r="Q60" s="9">
        <f>IF(Data!G61-4&gt;0,Data!G61-4,0)+Q59</f>
        <v>0</v>
      </c>
      <c r="R60" s="9">
        <f>IF(Data!H61-4&gt;0,Data!H61-4,0)+R59</f>
        <v>0</v>
      </c>
      <c r="S60" s="9">
        <f>IF(Data!I61-4&gt;0,Data!I61-4,0)+S59</f>
        <v>0</v>
      </c>
      <c r="T60" s="9">
        <f>IF(Data!B61&gt;0,Data!B61,0)+T59</f>
        <v>0</v>
      </c>
      <c r="U60" s="9">
        <f>IF(Data!C61&gt;0,Data!C61,0)+U59</f>
        <v>0</v>
      </c>
      <c r="V60" s="9">
        <f>IF(Data!D61&gt;0,Data!D61,0)+V59</f>
        <v>0</v>
      </c>
      <c r="W60" s="9">
        <f>IF(Data!E61&gt;0,Data!E61,0)+W59</f>
        <v>0</v>
      </c>
      <c r="X60" s="9">
        <f>IF(Data!F61&gt;0,Data!F61,0)+X59</f>
        <v>0</v>
      </c>
      <c r="Y60" s="9">
        <f>IF(Data!G61&gt;0,Data!G61,0)+Y59</f>
        <v>0</v>
      </c>
      <c r="Z60" s="9">
        <f>IF(Data!H61&gt;0,Data!H61,0)+Z59</f>
        <v>0</v>
      </c>
      <c r="AA60" s="9">
        <f>IF(Data!I61&gt;0,Data!I61,0)+AA59</f>
        <v>0</v>
      </c>
    </row>
    <row r="61" spans="10:27" x14ac:dyDescent="0.25">
      <c r="J61" s="8">
        <v>46081</v>
      </c>
      <c r="K61" s="9">
        <v>143</v>
      </c>
      <c r="L61" s="9">
        <f>IF(Data!B62-4&gt;0,Data!B62-4,0)+L60</f>
        <v>0</v>
      </c>
      <c r="M61" s="9">
        <f>IF(Data!C62-4&gt;0,Data!C62-4,0)+M60</f>
        <v>0</v>
      </c>
      <c r="N61" s="9">
        <f>IF(Data!D62-4&gt;0,Data!D62-4,0)+N60</f>
        <v>0</v>
      </c>
      <c r="O61" s="9">
        <f>IF(Data!E62-4&gt;0,Data!E62-4,0)+O60</f>
        <v>0</v>
      </c>
      <c r="P61" s="9">
        <f>IF(Data!F62-4&gt;0,Data!F62-4,0)+P60</f>
        <v>0</v>
      </c>
      <c r="Q61" s="9">
        <f>IF(Data!G62-4&gt;0,Data!G62-4,0)+Q60</f>
        <v>0</v>
      </c>
      <c r="R61" s="9">
        <f>IF(Data!H62-4&gt;0,Data!H62-4,0)+R60</f>
        <v>0</v>
      </c>
      <c r="S61" s="9">
        <f>IF(Data!I62-4&gt;0,Data!I62-4,0)+S60</f>
        <v>0</v>
      </c>
      <c r="T61" s="9">
        <f>IF(Data!B62&gt;0,Data!B62,0)+T60</f>
        <v>0</v>
      </c>
      <c r="U61" s="9">
        <f>IF(Data!C62&gt;0,Data!C62,0)+U60</f>
        <v>0</v>
      </c>
      <c r="V61" s="9">
        <f>IF(Data!D62&gt;0,Data!D62,0)+V60</f>
        <v>0</v>
      </c>
      <c r="W61" s="9">
        <f>IF(Data!E62&gt;0,Data!E62,0)+W60</f>
        <v>0</v>
      </c>
      <c r="X61" s="9">
        <f>IF(Data!F62&gt;0,Data!F62,0)+X60</f>
        <v>0</v>
      </c>
      <c r="Y61" s="9">
        <f>IF(Data!G62&gt;0,Data!G62,0)+Y60</f>
        <v>0</v>
      </c>
      <c r="Z61" s="9">
        <f>IF(Data!H62&gt;0,Data!H62,0)+Z60</f>
        <v>0</v>
      </c>
      <c r="AA61" s="9">
        <f>IF(Data!I62&gt;0,Data!I62,0)+AA60</f>
        <v>0</v>
      </c>
    </row>
    <row r="62" spans="10:27" x14ac:dyDescent="0.25">
      <c r="J62" s="8">
        <v>46082</v>
      </c>
      <c r="K62" s="9">
        <v>143</v>
      </c>
      <c r="L62" s="9">
        <f>IF(Data!B63-4&gt;0,Data!B63-4,0)+L61</f>
        <v>0</v>
      </c>
      <c r="M62" s="9">
        <f>IF(Data!C63-4&gt;0,Data!C63-4,0)+M61</f>
        <v>0</v>
      </c>
      <c r="N62" s="9">
        <f>IF(Data!D63-4&gt;0,Data!D63-4,0)+N61</f>
        <v>0</v>
      </c>
      <c r="O62" s="9">
        <f>IF(Data!E63-4&gt;0,Data!E63-4,0)+O61</f>
        <v>0</v>
      </c>
      <c r="P62" s="9">
        <f>IF(Data!F63-4&gt;0,Data!F63-4,0)+P61</f>
        <v>0</v>
      </c>
      <c r="Q62" s="9">
        <f>IF(Data!G63-4&gt;0,Data!G63-4,0)+Q61</f>
        <v>0</v>
      </c>
      <c r="R62" s="9">
        <f>IF(Data!H63-4&gt;0,Data!H63-4,0)+R61</f>
        <v>0</v>
      </c>
      <c r="S62" s="9">
        <f>IF(Data!I63-4&gt;0,Data!I63-4,0)+S61</f>
        <v>0</v>
      </c>
      <c r="T62" s="9">
        <f>IF(Data!B63&gt;0,Data!B63,0)+T61</f>
        <v>0</v>
      </c>
      <c r="U62" s="9">
        <f>IF(Data!C63&gt;0,Data!C63,0)+U61</f>
        <v>0</v>
      </c>
      <c r="V62" s="9">
        <f>IF(Data!D63&gt;0,Data!D63,0)+V61</f>
        <v>0</v>
      </c>
      <c r="W62" s="9">
        <f>IF(Data!E63&gt;0,Data!E63,0)+W61</f>
        <v>0</v>
      </c>
      <c r="X62" s="9">
        <f>IF(Data!F63&gt;0,Data!F63,0)+X61</f>
        <v>0</v>
      </c>
      <c r="Y62" s="9">
        <f>IF(Data!G63&gt;0,Data!G63,0)+Y61</f>
        <v>0</v>
      </c>
      <c r="Z62" s="9">
        <f>IF(Data!H63&gt;0,Data!H63,0)+Z61</f>
        <v>0</v>
      </c>
      <c r="AA62" s="9">
        <f>IF(Data!I63&gt;0,Data!I63,0)+AA61</f>
        <v>0</v>
      </c>
    </row>
    <row r="63" spans="10:27" x14ac:dyDescent="0.25">
      <c r="J63" s="8">
        <v>46083</v>
      </c>
      <c r="K63" s="9">
        <v>143</v>
      </c>
      <c r="L63" s="9">
        <f>IF(Data!B64-4&gt;0,Data!B64-4,0)+L62</f>
        <v>0</v>
      </c>
      <c r="M63" s="9">
        <f>IF(Data!C64-4&gt;0,Data!C64-4,0)+M62</f>
        <v>0</v>
      </c>
      <c r="N63" s="9">
        <f>IF(Data!D64-4&gt;0,Data!D64-4,0)+N62</f>
        <v>0</v>
      </c>
      <c r="O63" s="9">
        <f>IF(Data!E64-4&gt;0,Data!E64-4,0)+O62</f>
        <v>0</v>
      </c>
      <c r="P63" s="9">
        <f>IF(Data!F64-4&gt;0,Data!F64-4,0)+P62</f>
        <v>0</v>
      </c>
      <c r="Q63" s="9">
        <f>IF(Data!G64-4&gt;0,Data!G64-4,0)+Q62</f>
        <v>0</v>
      </c>
      <c r="R63" s="9">
        <f>IF(Data!H64-4&gt;0,Data!H64-4,0)+R62</f>
        <v>0</v>
      </c>
      <c r="S63" s="9">
        <f>IF(Data!I64-4&gt;0,Data!I64-4,0)+S62</f>
        <v>0</v>
      </c>
      <c r="T63" s="9">
        <f>IF(Data!B64&gt;0,Data!B64,0)+T62</f>
        <v>0</v>
      </c>
      <c r="U63" s="9">
        <f>IF(Data!C64&gt;0,Data!C64,0)+U62</f>
        <v>0</v>
      </c>
      <c r="V63" s="9">
        <f>IF(Data!D64&gt;0,Data!D64,0)+V62</f>
        <v>0</v>
      </c>
      <c r="W63" s="9">
        <f>IF(Data!E64&gt;0,Data!E64,0)+W62</f>
        <v>0</v>
      </c>
      <c r="X63" s="9">
        <f>IF(Data!F64&gt;0,Data!F64,0)+X62</f>
        <v>0</v>
      </c>
      <c r="Y63" s="9">
        <f>IF(Data!G64&gt;0,Data!G64,0)+Y62</f>
        <v>0</v>
      </c>
      <c r="Z63" s="9">
        <f>IF(Data!H64&gt;0,Data!H64,0)+Z62</f>
        <v>0</v>
      </c>
      <c r="AA63" s="9">
        <f>IF(Data!I64&gt;0,Data!I64,0)+AA62</f>
        <v>0</v>
      </c>
    </row>
    <row r="64" spans="10:27" x14ac:dyDescent="0.25">
      <c r="J64" s="8">
        <v>46084</v>
      </c>
      <c r="K64" s="9">
        <v>143</v>
      </c>
      <c r="L64" s="9">
        <f>IF(Data!B65-4&gt;0,Data!B65-4,0)+L63</f>
        <v>0</v>
      </c>
      <c r="M64" s="9">
        <f>IF(Data!C65-4&gt;0,Data!C65-4,0)+M63</f>
        <v>0</v>
      </c>
      <c r="N64" s="9">
        <f>IF(Data!D65-4&gt;0,Data!D65-4,0)+N63</f>
        <v>0</v>
      </c>
      <c r="O64" s="9">
        <f>IF(Data!E65-4&gt;0,Data!E65-4,0)+O63</f>
        <v>0</v>
      </c>
      <c r="P64" s="9">
        <f>IF(Data!F65-4&gt;0,Data!F65-4,0)+P63</f>
        <v>0</v>
      </c>
      <c r="Q64" s="9">
        <f>IF(Data!G65-4&gt;0,Data!G65-4,0)+Q63</f>
        <v>0</v>
      </c>
      <c r="R64" s="9">
        <f>IF(Data!H65-4&gt;0,Data!H65-4,0)+R63</f>
        <v>0</v>
      </c>
      <c r="S64" s="9">
        <f>IF(Data!I65-4&gt;0,Data!I65-4,0)+S63</f>
        <v>0</v>
      </c>
      <c r="T64" s="9">
        <f>IF(Data!B65&gt;0,Data!B65,0)+T63</f>
        <v>0</v>
      </c>
      <c r="U64" s="9">
        <f>IF(Data!C65&gt;0,Data!C65,0)+U63</f>
        <v>0</v>
      </c>
      <c r="V64" s="9">
        <f>IF(Data!D65&gt;0,Data!D65,0)+V63</f>
        <v>0</v>
      </c>
      <c r="W64" s="9">
        <f>IF(Data!E65&gt;0,Data!E65,0)+W63</f>
        <v>0</v>
      </c>
      <c r="X64" s="9">
        <f>IF(Data!F65&gt;0,Data!F65,0)+X63</f>
        <v>0</v>
      </c>
      <c r="Y64" s="9">
        <f>IF(Data!G65&gt;0,Data!G65,0)+Y63</f>
        <v>0</v>
      </c>
      <c r="Z64" s="9">
        <f>IF(Data!H65&gt;0,Data!H65,0)+Z63</f>
        <v>0</v>
      </c>
      <c r="AA64" s="9">
        <f>IF(Data!I65&gt;0,Data!I65,0)+AA63</f>
        <v>0</v>
      </c>
    </row>
    <row r="65" spans="10:27" x14ac:dyDescent="0.25">
      <c r="J65" s="8">
        <v>46085</v>
      </c>
      <c r="K65" s="9">
        <v>143</v>
      </c>
      <c r="L65" s="9">
        <f>IF(Data!B66-4&gt;0,Data!B66-4,0)+L64</f>
        <v>0</v>
      </c>
      <c r="M65" s="9">
        <f>IF(Data!C66-4&gt;0,Data!C66-4,0)+M64</f>
        <v>0</v>
      </c>
      <c r="N65" s="9">
        <f>IF(Data!D66-4&gt;0,Data!D66-4,0)+N64</f>
        <v>0</v>
      </c>
      <c r="O65" s="9">
        <f>IF(Data!E66-4&gt;0,Data!E66-4,0)+O64</f>
        <v>0</v>
      </c>
      <c r="P65" s="9">
        <f>IF(Data!F66-4&gt;0,Data!F66-4,0)+P64</f>
        <v>0</v>
      </c>
      <c r="Q65" s="9">
        <f>IF(Data!G66-4&gt;0,Data!G66-4,0)+Q64</f>
        <v>0</v>
      </c>
      <c r="R65" s="9">
        <f>IF(Data!H66-4&gt;0,Data!H66-4,0)+R64</f>
        <v>0</v>
      </c>
      <c r="S65" s="9">
        <f>IF(Data!I66-4&gt;0,Data!I66-4,0)+S64</f>
        <v>0</v>
      </c>
      <c r="T65" s="9">
        <f>IF(Data!B66&gt;0,Data!B66,0)+T64</f>
        <v>0</v>
      </c>
      <c r="U65" s="9">
        <f>IF(Data!C66&gt;0,Data!C66,0)+U64</f>
        <v>0</v>
      </c>
      <c r="V65" s="9">
        <f>IF(Data!D66&gt;0,Data!D66,0)+V64</f>
        <v>0</v>
      </c>
      <c r="W65" s="9">
        <f>IF(Data!E66&gt;0,Data!E66,0)+W64</f>
        <v>0</v>
      </c>
      <c r="X65" s="9">
        <f>IF(Data!F66&gt;0,Data!F66,0)+X64</f>
        <v>0</v>
      </c>
      <c r="Y65" s="9">
        <f>IF(Data!G66&gt;0,Data!G66,0)+Y64</f>
        <v>0</v>
      </c>
      <c r="Z65" s="9">
        <f>IF(Data!H66&gt;0,Data!H66,0)+Z64</f>
        <v>0</v>
      </c>
      <c r="AA65" s="9">
        <f>IF(Data!I66&gt;0,Data!I66,0)+AA64</f>
        <v>0</v>
      </c>
    </row>
    <row r="66" spans="10:27" x14ac:dyDescent="0.25">
      <c r="J66" s="8">
        <v>46086</v>
      </c>
      <c r="K66" s="9">
        <v>143</v>
      </c>
      <c r="L66" s="9">
        <f>IF(Data!B67-4&gt;0,Data!B67-4,0)+L65</f>
        <v>0</v>
      </c>
      <c r="M66" s="9">
        <f>IF(Data!C67-4&gt;0,Data!C67-4,0)+M65</f>
        <v>0</v>
      </c>
      <c r="N66" s="9">
        <f>IF(Data!D67-4&gt;0,Data!D67-4,0)+N65</f>
        <v>0</v>
      </c>
      <c r="O66" s="9">
        <f>IF(Data!E67-4&gt;0,Data!E67-4,0)+O65</f>
        <v>0</v>
      </c>
      <c r="P66" s="9">
        <f>IF(Data!F67-4&gt;0,Data!F67-4,0)+P65</f>
        <v>0</v>
      </c>
      <c r="Q66" s="9">
        <f>IF(Data!G67-4&gt;0,Data!G67-4,0)+Q65</f>
        <v>0</v>
      </c>
      <c r="R66" s="9">
        <f>IF(Data!H67-4&gt;0,Data!H67-4,0)+R65</f>
        <v>0</v>
      </c>
      <c r="S66" s="9">
        <f>IF(Data!I67-4&gt;0,Data!I67-4,0)+S65</f>
        <v>0</v>
      </c>
      <c r="T66" s="9">
        <f>IF(Data!B67&gt;0,Data!B67,0)+T65</f>
        <v>0</v>
      </c>
      <c r="U66" s="9">
        <f>IF(Data!C67&gt;0,Data!C67,0)+U65</f>
        <v>0</v>
      </c>
      <c r="V66" s="9">
        <f>IF(Data!D67&gt;0,Data!D67,0)+V65</f>
        <v>0</v>
      </c>
      <c r="W66" s="9">
        <f>IF(Data!E67&gt;0,Data!E67,0)+W65</f>
        <v>0</v>
      </c>
      <c r="X66" s="9">
        <f>IF(Data!F67&gt;0,Data!F67,0)+X65</f>
        <v>0</v>
      </c>
      <c r="Y66" s="9">
        <f>IF(Data!G67&gt;0,Data!G67,0)+Y65</f>
        <v>0</v>
      </c>
      <c r="Z66" s="9">
        <f>IF(Data!H67&gt;0,Data!H67,0)+Z65</f>
        <v>0</v>
      </c>
      <c r="AA66" s="9">
        <f>IF(Data!I67&gt;0,Data!I67,0)+AA65</f>
        <v>0</v>
      </c>
    </row>
    <row r="67" spans="10:27" x14ac:dyDescent="0.25">
      <c r="J67" s="8">
        <v>46087</v>
      </c>
      <c r="K67" s="9">
        <v>143</v>
      </c>
      <c r="L67" s="9">
        <f>IF(Data!B68-4&gt;0,Data!B68-4,0)+L66</f>
        <v>0</v>
      </c>
      <c r="M67" s="9">
        <f>IF(Data!C68-4&gt;0,Data!C68-4,0)+M66</f>
        <v>0</v>
      </c>
      <c r="N67" s="9">
        <f>IF(Data!D68-4&gt;0,Data!D68-4,0)+N66</f>
        <v>0</v>
      </c>
      <c r="O67" s="9">
        <f>IF(Data!E68-4&gt;0,Data!E68-4,0)+O66</f>
        <v>0</v>
      </c>
      <c r="P67" s="9">
        <f>IF(Data!F68-4&gt;0,Data!F68-4,0)+P66</f>
        <v>0</v>
      </c>
      <c r="Q67" s="9">
        <f>IF(Data!G68-4&gt;0,Data!G68-4,0)+Q66</f>
        <v>0</v>
      </c>
      <c r="R67" s="9">
        <f>IF(Data!H68-4&gt;0,Data!H68-4,0)+R66</f>
        <v>0</v>
      </c>
      <c r="S67" s="9">
        <f>IF(Data!I68-4&gt;0,Data!I68-4,0)+S66</f>
        <v>0</v>
      </c>
      <c r="T67" s="9">
        <f>IF(Data!B68&gt;0,Data!B68,0)+T66</f>
        <v>0</v>
      </c>
      <c r="U67" s="9">
        <f>IF(Data!C68&gt;0,Data!C68,0)+U66</f>
        <v>0</v>
      </c>
      <c r="V67" s="9">
        <f>IF(Data!D68&gt;0,Data!D68,0)+V66</f>
        <v>0</v>
      </c>
      <c r="W67" s="9">
        <f>IF(Data!E68&gt;0,Data!E68,0)+W66</f>
        <v>0</v>
      </c>
      <c r="X67" s="9">
        <f>IF(Data!F68&gt;0,Data!F68,0)+X66</f>
        <v>0</v>
      </c>
      <c r="Y67" s="9">
        <f>IF(Data!G68&gt;0,Data!G68,0)+Y66</f>
        <v>0</v>
      </c>
      <c r="Z67" s="9">
        <f>IF(Data!H68&gt;0,Data!H68,0)+Z66</f>
        <v>0</v>
      </c>
      <c r="AA67" s="9">
        <f>IF(Data!I68&gt;0,Data!I68,0)+AA66</f>
        <v>0</v>
      </c>
    </row>
    <row r="68" spans="10:27" x14ac:dyDescent="0.25">
      <c r="J68" s="8">
        <v>46088</v>
      </c>
      <c r="K68" s="9">
        <v>143</v>
      </c>
      <c r="L68" s="9">
        <f>IF(Data!B69-4&gt;0,Data!B69-4,0)+L67</f>
        <v>0</v>
      </c>
      <c r="M68" s="9">
        <f>IF(Data!C69-4&gt;0,Data!C69-4,0)+M67</f>
        <v>0</v>
      </c>
      <c r="N68" s="9">
        <f>IF(Data!D69-4&gt;0,Data!D69-4,0)+N67</f>
        <v>0</v>
      </c>
      <c r="O68" s="9">
        <f>IF(Data!E69-4&gt;0,Data!E69-4,0)+O67</f>
        <v>0</v>
      </c>
      <c r="P68" s="9">
        <f>IF(Data!F69-4&gt;0,Data!F69-4,0)+P67</f>
        <v>0</v>
      </c>
      <c r="Q68" s="9">
        <f>IF(Data!G69-4&gt;0,Data!G69-4,0)+Q67</f>
        <v>0</v>
      </c>
      <c r="R68" s="9">
        <f>IF(Data!H69-4&gt;0,Data!H69-4,0)+R67</f>
        <v>0</v>
      </c>
      <c r="S68" s="9">
        <f>IF(Data!I69-4&gt;0,Data!I69-4,0)+S67</f>
        <v>0</v>
      </c>
      <c r="T68" s="9">
        <f>IF(Data!B69&gt;0,Data!B69,0)+T67</f>
        <v>0</v>
      </c>
      <c r="U68" s="9">
        <f>IF(Data!C69&gt;0,Data!C69,0)+U67</f>
        <v>0</v>
      </c>
      <c r="V68" s="9">
        <f>IF(Data!D69&gt;0,Data!D69,0)+V67</f>
        <v>0</v>
      </c>
      <c r="W68" s="9">
        <f>IF(Data!E69&gt;0,Data!E69,0)+W67</f>
        <v>0</v>
      </c>
      <c r="X68" s="9">
        <f>IF(Data!F69&gt;0,Data!F69,0)+X67</f>
        <v>0</v>
      </c>
      <c r="Y68" s="9">
        <f>IF(Data!G69&gt;0,Data!G69,0)+Y67</f>
        <v>0</v>
      </c>
      <c r="Z68" s="9">
        <f>IF(Data!H69&gt;0,Data!H69,0)+Z67</f>
        <v>0</v>
      </c>
      <c r="AA68" s="9">
        <f>IF(Data!I69&gt;0,Data!I69,0)+AA67</f>
        <v>0</v>
      </c>
    </row>
    <row r="69" spans="10:27" x14ac:dyDescent="0.25">
      <c r="J69" s="8">
        <v>46089</v>
      </c>
      <c r="K69" s="9">
        <v>143</v>
      </c>
      <c r="L69" s="9">
        <f>IF(Data!B70-4&gt;0,Data!B70-4,0)+L68</f>
        <v>0</v>
      </c>
      <c r="M69" s="9">
        <f>IF(Data!C70-4&gt;0,Data!C70-4,0)+M68</f>
        <v>0</v>
      </c>
      <c r="N69" s="9">
        <f>IF(Data!D70-4&gt;0,Data!D70-4,0)+N68</f>
        <v>0</v>
      </c>
      <c r="O69" s="9">
        <f>IF(Data!E70-4&gt;0,Data!E70-4,0)+O68</f>
        <v>0</v>
      </c>
      <c r="P69" s="9">
        <f>IF(Data!F70-4&gt;0,Data!F70-4,0)+P68</f>
        <v>0</v>
      </c>
      <c r="Q69" s="9">
        <f>IF(Data!G70-4&gt;0,Data!G70-4,0)+Q68</f>
        <v>0</v>
      </c>
      <c r="R69" s="9">
        <f>IF(Data!H70-4&gt;0,Data!H70-4,0)+R68</f>
        <v>0</v>
      </c>
      <c r="S69" s="9">
        <f>IF(Data!I70-4&gt;0,Data!I70-4,0)+S68</f>
        <v>0</v>
      </c>
      <c r="T69" s="9">
        <f>IF(Data!B70&gt;0,Data!B70,0)+T68</f>
        <v>0</v>
      </c>
      <c r="U69" s="9">
        <f>IF(Data!C70&gt;0,Data!C70,0)+U68</f>
        <v>0</v>
      </c>
      <c r="V69" s="9">
        <f>IF(Data!D70&gt;0,Data!D70,0)+V68</f>
        <v>0</v>
      </c>
      <c r="W69" s="9">
        <f>IF(Data!E70&gt;0,Data!E70,0)+W68</f>
        <v>0</v>
      </c>
      <c r="X69" s="9">
        <f>IF(Data!F70&gt;0,Data!F70,0)+X68</f>
        <v>0</v>
      </c>
      <c r="Y69" s="9">
        <f>IF(Data!G70&gt;0,Data!G70,0)+Y68</f>
        <v>0</v>
      </c>
      <c r="Z69" s="9">
        <f>IF(Data!H70&gt;0,Data!H70,0)+Z68</f>
        <v>0</v>
      </c>
      <c r="AA69" s="9">
        <f>IF(Data!I70&gt;0,Data!I70,0)+AA68</f>
        <v>0</v>
      </c>
    </row>
    <row r="70" spans="10:27" x14ac:dyDescent="0.25">
      <c r="J70" s="8">
        <v>46090</v>
      </c>
      <c r="K70" s="9">
        <v>143</v>
      </c>
      <c r="L70" s="9">
        <f>IF(Data!B71-4&gt;0,Data!B71-4,0)+L69</f>
        <v>0</v>
      </c>
      <c r="M70" s="9">
        <f>IF(Data!C71-4&gt;0,Data!C71-4,0)+M69</f>
        <v>0</v>
      </c>
      <c r="N70" s="9">
        <f>IF(Data!D71-4&gt;0,Data!D71-4,0)+N69</f>
        <v>0</v>
      </c>
      <c r="O70" s="9">
        <f>IF(Data!E71-4&gt;0,Data!E71-4,0)+O69</f>
        <v>0</v>
      </c>
      <c r="P70" s="9">
        <f>IF(Data!F71-4&gt;0,Data!F71-4,0)+P69</f>
        <v>0</v>
      </c>
      <c r="Q70" s="9">
        <f>IF(Data!G71-4&gt;0,Data!G71-4,0)+Q69</f>
        <v>0</v>
      </c>
      <c r="R70" s="9">
        <f>IF(Data!H71-4&gt;0,Data!H71-4,0)+R69</f>
        <v>0</v>
      </c>
      <c r="S70" s="9">
        <f>IF(Data!I71-4&gt;0,Data!I71-4,0)+S69</f>
        <v>0</v>
      </c>
      <c r="T70" s="9">
        <f>IF(Data!B71&gt;0,Data!B71,0)+T69</f>
        <v>0</v>
      </c>
      <c r="U70" s="9">
        <f>IF(Data!C71&gt;0,Data!C71,0)+U69</f>
        <v>0</v>
      </c>
      <c r="V70" s="9">
        <f>IF(Data!D71&gt;0,Data!D71,0)+V69</f>
        <v>0</v>
      </c>
      <c r="W70" s="9">
        <f>IF(Data!E71&gt;0,Data!E71,0)+W69</f>
        <v>0</v>
      </c>
      <c r="X70" s="9">
        <f>IF(Data!F71&gt;0,Data!F71,0)+X69</f>
        <v>0</v>
      </c>
      <c r="Y70" s="9">
        <f>IF(Data!G71&gt;0,Data!G71,0)+Y69</f>
        <v>0</v>
      </c>
      <c r="Z70" s="9">
        <f>IF(Data!H71&gt;0,Data!H71,0)+Z69</f>
        <v>0</v>
      </c>
      <c r="AA70" s="9">
        <f>IF(Data!I71&gt;0,Data!I71,0)+AA69</f>
        <v>0</v>
      </c>
    </row>
    <row r="71" spans="10:27" x14ac:dyDescent="0.25">
      <c r="J71" s="8">
        <v>46091</v>
      </c>
      <c r="K71" s="9">
        <v>143</v>
      </c>
      <c r="L71" s="9">
        <f>IF(Data!B72-4&gt;0,Data!B72-4,0)+L70</f>
        <v>0</v>
      </c>
      <c r="M71" s="9">
        <f>IF(Data!C72-4&gt;0,Data!C72-4,0)+M70</f>
        <v>0</v>
      </c>
      <c r="N71" s="9">
        <f>IF(Data!D72-4&gt;0,Data!D72-4,0)+N70</f>
        <v>0</v>
      </c>
      <c r="O71" s="9">
        <f>IF(Data!E72-4&gt;0,Data!E72-4,0)+O70</f>
        <v>0</v>
      </c>
      <c r="P71" s="9">
        <f>IF(Data!F72-4&gt;0,Data!F72-4,0)+P70</f>
        <v>0</v>
      </c>
      <c r="Q71" s="9">
        <f>IF(Data!G72-4&gt;0,Data!G72-4,0)+Q70</f>
        <v>0</v>
      </c>
      <c r="R71" s="9">
        <f>IF(Data!H72-4&gt;0,Data!H72-4,0)+R70</f>
        <v>0</v>
      </c>
      <c r="S71" s="9">
        <f>IF(Data!I72-4&gt;0,Data!I72-4,0)+S70</f>
        <v>0</v>
      </c>
      <c r="T71" s="9">
        <f>IF(Data!B72&gt;0,Data!B72,0)+T70</f>
        <v>0</v>
      </c>
      <c r="U71" s="9">
        <f>IF(Data!C72&gt;0,Data!C72,0)+U70</f>
        <v>0</v>
      </c>
      <c r="V71" s="9">
        <f>IF(Data!D72&gt;0,Data!D72,0)+V70</f>
        <v>0</v>
      </c>
      <c r="W71" s="9">
        <f>IF(Data!E72&gt;0,Data!E72,0)+W70</f>
        <v>0</v>
      </c>
      <c r="X71" s="9">
        <f>IF(Data!F72&gt;0,Data!F72,0)+X70</f>
        <v>0</v>
      </c>
      <c r="Y71" s="9">
        <f>IF(Data!G72&gt;0,Data!G72,0)+Y70</f>
        <v>0</v>
      </c>
      <c r="Z71" s="9">
        <f>IF(Data!H72&gt;0,Data!H72,0)+Z70</f>
        <v>0</v>
      </c>
      <c r="AA71" s="9">
        <f>IF(Data!I72&gt;0,Data!I72,0)+AA70</f>
        <v>0</v>
      </c>
    </row>
    <row r="72" spans="10:27" x14ac:dyDescent="0.25">
      <c r="J72" s="8">
        <v>46092</v>
      </c>
      <c r="K72" s="9">
        <v>143</v>
      </c>
      <c r="L72" s="9">
        <f>IF(Data!B73-4&gt;0,Data!B73-4,0)+L71</f>
        <v>0</v>
      </c>
      <c r="M72" s="9">
        <f>IF(Data!C73-4&gt;0,Data!C73-4,0)+M71</f>
        <v>0</v>
      </c>
      <c r="N72" s="9">
        <f>IF(Data!D73-4&gt;0,Data!D73-4,0)+N71</f>
        <v>0</v>
      </c>
      <c r="O72" s="9">
        <f>IF(Data!E73-4&gt;0,Data!E73-4,0)+O71</f>
        <v>0</v>
      </c>
      <c r="P72" s="9">
        <f>IF(Data!F73-4&gt;0,Data!F73-4,0)+P71</f>
        <v>0</v>
      </c>
      <c r="Q72" s="9">
        <f>IF(Data!G73-4&gt;0,Data!G73-4,0)+Q71</f>
        <v>0</v>
      </c>
      <c r="R72" s="9">
        <f>IF(Data!H73-4&gt;0,Data!H73-4,0)+R71</f>
        <v>0</v>
      </c>
      <c r="S72" s="9">
        <f>IF(Data!I73-4&gt;0,Data!I73-4,0)+S71</f>
        <v>0</v>
      </c>
      <c r="T72" s="9">
        <f>IF(Data!B73&gt;0,Data!B73,0)+T71</f>
        <v>0</v>
      </c>
      <c r="U72" s="9">
        <f>IF(Data!C73&gt;0,Data!C73,0)+U71</f>
        <v>0</v>
      </c>
      <c r="V72" s="9">
        <f>IF(Data!D73&gt;0,Data!D73,0)+V71</f>
        <v>0</v>
      </c>
      <c r="W72" s="9">
        <f>IF(Data!E73&gt;0,Data!E73,0)+W71</f>
        <v>0</v>
      </c>
      <c r="X72" s="9">
        <f>IF(Data!F73&gt;0,Data!F73,0)+X71</f>
        <v>0</v>
      </c>
      <c r="Y72" s="9">
        <f>IF(Data!G73&gt;0,Data!G73,0)+Y71</f>
        <v>0</v>
      </c>
      <c r="Z72" s="9">
        <f>IF(Data!H73&gt;0,Data!H73,0)+Z71</f>
        <v>0</v>
      </c>
      <c r="AA72" s="9">
        <f>IF(Data!I73&gt;0,Data!I73,0)+AA71</f>
        <v>0</v>
      </c>
    </row>
    <row r="73" spans="10:27" x14ac:dyDescent="0.25">
      <c r="J73" s="8">
        <v>46093</v>
      </c>
      <c r="K73" s="9">
        <v>143</v>
      </c>
      <c r="L73" s="9">
        <f>IF(Data!B74-4&gt;0,Data!B74-4,0)+L72</f>
        <v>0</v>
      </c>
      <c r="M73" s="9">
        <f>IF(Data!C74-4&gt;0,Data!C74-4,0)+M72</f>
        <v>0</v>
      </c>
      <c r="N73" s="9">
        <f>IF(Data!D74-4&gt;0,Data!D74-4,0)+N72</f>
        <v>0</v>
      </c>
      <c r="O73" s="9">
        <f>IF(Data!E74-4&gt;0,Data!E74-4,0)+O72</f>
        <v>0</v>
      </c>
      <c r="P73" s="9">
        <f>IF(Data!F74-4&gt;0,Data!F74-4,0)+P72</f>
        <v>0</v>
      </c>
      <c r="Q73" s="9">
        <f>IF(Data!G74-4&gt;0,Data!G74-4,0)+Q72</f>
        <v>0</v>
      </c>
      <c r="R73" s="9">
        <f>IF(Data!H74-4&gt;0,Data!H74-4,0)+R72</f>
        <v>0</v>
      </c>
      <c r="S73" s="9">
        <f>IF(Data!I74-4&gt;0,Data!I74-4,0)+S72</f>
        <v>0</v>
      </c>
      <c r="T73" s="9">
        <f>IF(Data!B74&gt;0,Data!B74,0)+T72</f>
        <v>0</v>
      </c>
      <c r="U73" s="9">
        <f>IF(Data!C74&gt;0,Data!C74,0)+U72</f>
        <v>0</v>
      </c>
      <c r="V73" s="9">
        <f>IF(Data!D74&gt;0,Data!D74,0)+V72</f>
        <v>0</v>
      </c>
      <c r="W73" s="9">
        <f>IF(Data!E74&gt;0,Data!E74,0)+W72</f>
        <v>0</v>
      </c>
      <c r="X73" s="9">
        <f>IF(Data!F74&gt;0,Data!F74,0)+X72</f>
        <v>0</v>
      </c>
      <c r="Y73" s="9">
        <f>IF(Data!G74&gt;0,Data!G74,0)+Y72</f>
        <v>0</v>
      </c>
      <c r="Z73" s="9">
        <f>IF(Data!H74&gt;0,Data!H74,0)+Z72</f>
        <v>0</v>
      </c>
      <c r="AA73" s="9">
        <f>IF(Data!I74&gt;0,Data!I74,0)+AA72</f>
        <v>0</v>
      </c>
    </row>
    <row r="74" spans="10:27" x14ac:dyDescent="0.25">
      <c r="J74" s="8">
        <v>46094</v>
      </c>
      <c r="K74" s="9">
        <v>143</v>
      </c>
      <c r="L74" s="9">
        <f>IF(Data!B75-4&gt;0,Data!B75-4,0)+L73</f>
        <v>0</v>
      </c>
      <c r="M74" s="9">
        <f>IF(Data!C75-4&gt;0,Data!C75-4,0)+M73</f>
        <v>0</v>
      </c>
      <c r="N74" s="9">
        <f>IF(Data!D75-4&gt;0,Data!D75-4,0)+N73</f>
        <v>0</v>
      </c>
      <c r="O74" s="9">
        <f>IF(Data!E75-4&gt;0,Data!E75-4,0)+O73</f>
        <v>0</v>
      </c>
      <c r="P74" s="9">
        <f>IF(Data!F75-4&gt;0,Data!F75-4,0)+P73</f>
        <v>0</v>
      </c>
      <c r="Q74" s="9">
        <f>IF(Data!G75-4&gt;0,Data!G75-4,0)+Q73</f>
        <v>0</v>
      </c>
      <c r="R74" s="9">
        <f>IF(Data!H75-4&gt;0,Data!H75-4,0)+R73</f>
        <v>0</v>
      </c>
      <c r="S74" s="9">
        <f>IF(Data!I75-4&gt;0,Data!I75-4,0)+S73</f>
        <v>0</v>
      </c>
      <c r="T74" s="9">
        <f>IF(Data!B75&gt;0,Data!B75,0)+T73</f>
        <v>0</v>
      </c>
      <c r="U74" s="9">
        <f>IF(Data!C75&gt;0,Data!C75,0)+U73</f>
        <v>0</v>
      </c>
      <c r="V74" s="9">
        <f>IF(Data!D75&gt;0,Data!D75,0)+V73</f>
        <v>0</v>
      </c>
      <c r="W74" s="9">
        <f>IF(Data!E75&gt;0,Data!E75,0)+W73</f>
        <v>0</v>
      </c>
      <c r="X74" s="9">
        <f>IF(Data!F75&gt;0,Data!F75,0)+X73</f>
        <v>0</v>
      </c>
      <c r="Y74" s="9">
        <f>IF(Data!G75&gt;0,Data!G75,0)+Y73</f>
        <v>0</v>
      </c>
      <c r="Z74" s="9">
        <f>IF(Data!H75&gt;0,Data!H75,0)+Z73</f>
        <v>0</v>
      </c>
      <c r="AA74" s="9">
        <f>IF(Data!I75&gt;0,Data!I75,0)+AA73</f>
        <v>0</v>
      </c>
    </row>
    <row r="75" spans="10:27" x14ac:dyDescent="0.25">
      <c r="J75" s="8">
        <v>46095</v>
      </c>
      <c r="K75" s="9">
        <v>143</v>
      </c>
      <c r="L75" s="9">
        <f>IF(Data!B76-4&gt;0,Data!B76-4,0)+L74</f>
        <v>0</v>
      </c>
      <c r="M75" s="9">
        <f>IF(Data!C76-4&gt;0,Data!C76-4,0)+M74</f>
        <v>0</v>
      </c>
      <c r="N75" s="9">
        <f>IF(Data!D76-4&gt;0,Data!D76-4,0)+N74</f>
        <v>0</v>
      </c>
      <c r="O75" s="9">
        <f>IF(Data!E76-4&gt;0,Data!E76-4,0)+O74</f>
        <v>0</v>
      </c>
      <c r="P75" s="9">
        <f>IF(Data!F76-4&gt;0,Data!F76-4,0)+P74</f>
        <v>0</v>
      </c>
      <c r="Q75" s="9">
        <f>IF(Data!G76-4&gt;0,Data!G76-4,0)+Q74</f>
        <v>0</v>
      </c>
      <c r="R75" s="9">
        <f>IF(Data!H76-4&gt;0,Data!H76-4,0)+R74</f>
        <v>0</v>
      </c>
      <c r="S75" s="9">
        <f>IF(Data!I76-4&gt;0,Data!I76-4,0)+S74</f>
        <v>0</v>
      </c>
      <c r="T75" s="9">
        <f>IF(Data!B76&gt;0,Data!B76,0)+T74</f>
        <v>0</v>
      </c>
      <c r="U75" s="9">
        <f>IF(Data!C76&gt;0,Data!C76,0)+U74</f>
        <v>0</v>
      </c>
      <c r="V75" s="9">
        <f>IF(Data!D76&gt;0,Data!D76,0)+V74</f>
        <v>0</v>
      </c>
      <c r="W75" s="9">
        <f>IF(Data!E76&gt;0,Data!E76,0)+W74</f>
        <v>0</v>
      </c>
      <c r="X75" s="9">
        <f>IF(Data!F76&gt;0,Data!F76,0)+X74</f>
        <v>0</v>
      </c>
      <c r="Y75" s="9">
        <f>IF(Data!G76&gt;0,Data!G76,0)+Y74</f>
        <v>0</v>
      </c>
      <c r="Z75" s="9">
        <f>IF(Data!H76&gt;0,Data!H76,0)+Z74</f>
        <v>0</v>
      </c>
      <c r="AA75" s="9">
        <f>IF(Data!I76&gt;0,Data!I76,0)+AA74</f>
        <v>0</v>
      </c>
    </row>
    <row r="76" spans="10:27" x14ac:dyDescent="0.25">
      <c r="J76" s="8">
        <v>46096</v>
      </c>
      <c r="K76" s="9">
        <v>143</v>
      </c>
      <c r="L76" s="9">
        <f>IF(Data!B77-4&gt;0,Data!B77-4,0)+L75</f>
        <v>0</v>
      </c>
      <c r="M76" s="9">
        <f>IF(Data!C77-4&gt;0,Data!C77-4,0)+M75</f>
        <v>0</v>
      </c>
      <c r="N76" s="9">
        <f>IF(Data!D77-4&gt;0,Data!D77-4,0)+N75</f>
        <v>0</v>
      </c>
      <c r="O76" s="9">
        <f>IF(Data!E77-4&gt;0,Data!E77-4,0)+O75</f>
        <v>0</v>
      </c>
      <c r="P76" s="9">
        <f>IF(Data!F77-4&gt;0,Data!F77-4,0)+P75</f>
        <v>0</v>
      </c>
      <c r="Q76" s="9">
        <f>IF(Data!G77-4&gt;0,Data!G77-4,0)+Q75</f>
        <v>0</v>
      </c>
      <c r="R76" s="9">
        <f>IF(Data!H77-4&gt;0,Data!H77-4,0)+R75</f>
        <v>0</v>
      </c>
      <c r="S76" s="9">
        <f>IF(Data!I77-4&gt;0,Data!I77-4,0)+S75</f>
        <v>0</v>
      </c>
      <c r="T76" s="9">
        <f>IF(Data!B77&gt;0,Data!B77,0)+T75</f>
        <v>0</v>
      </c>
      <c r="U76" s="9">
        <f>IF(Data!C77&gt;0,Data!C77,0)+U75</f>
        <v>0</v>
      </c>
      <c r="V76" s="9">
        <f>IF(Data!D77&gt;0,Data!D77,0)+V75</f>
        <v>0</v>
      </c>
      <c r="W76" s="9">
        <f>IF(Data!E77&gt;0,Data!E77,0)+W75</f>
        <v>0</v>
      </c>
      <c r="X76" s="9">
        <f>IF(Data!F77&gt;0,Data!F77,0)+X75</f>
        <v>0</v>
      </c>
      <c r="Y76" s="9">
        <f>IF(Data!G77&gt;0,Data!G77,0)+Y75</f>
        <v>0</v>
      </c>
      <c r="Z76" s="9">
        <f>IF(Data!H77&gt;0,Data!H77,0)+Z75</f>
        <v>0</v>
      </c>
      <c r="AA76" s="9">
        <f>IF(Data!I77&gt;0,Data!I77,0)+AA75</f>
        <v>0</v>
      </c>
    </row>
    <row r="77" spans="10:27" x14ac:dyDescent="0.25">
      <c r="J77" s="8">
        <v>46097</v>
      </c>
      <c r="K77" s="9">
        <v>143</v>
      </c>
      <c r="L77" s="9">
        <f>IF(Data!B78-4&gt;0,Data!B78-4,0)+L76</f>
        <v>0</v>
      </c>
      <c r="M77" s="9">
        <f>IF(Data!C78-4&gt;0,Data!C78-4,0)+M76</f>
        <v>0</v>
      </c>
      <c r="N77" s="9">
        <f>IF(Data!D78-4&gt;0,Data!D78-4,0)+N76</f>
        <v>0</v>
      </c>
      <c r="O77" s="9">
        <f>IF(Data!E78-4&gt;0,Data!E78-4,0)+O76</f>
        <v>0</v>
      </c>
      <c r="P77" s="9">
        <f>IF(Data!F78-4&gt;0,Data!F78-4,0)+P76</f>
        <v>0</v>
      </c>
      <c r="Q77" s="9">
        <f>IF(Data!G78-4&gt;0,Data!G78-4,0)+Q76</f>
        <v>0</v>
      </c>
      <c r="R77" s="9">
        <f>IF(Data!H78-4&gt;0,Data!H78-4,0)+R76</f>
        <v>0</v>
      </c>
      <c r="S77" s="9">
        <f>IF(Data!I78-4&gt;0,Data!I78-4,0)+S76</f>
        <v>0</v>
      </c>
      <c r="T77" s="9">
        <f>IF(Data!B78&gt;0,Data!B78,0)+T76</f>
        <v>0</v>
      </c>
      <c r="U77" s="9">
        <f>IF(Data!C78&gt;0,Data!C78,0)+U76</f>
        <v>0</v>
      </c>
      <c r="V77" s="9">
        <f>IF(Data!D78&gt;0,Data!D78,0)+V76</f>
        <v>0</v>
      </c>
      <c r="W77" s="9">
        <f>IF(Data!E78&gt;0,Data!E78,0)+W76</f>
        <v>0</v>
      </c>
      <c r="X77" s="9">
        <f>IF(Data!F78&gt;0,Data!F78,0)+X76</f>
        <v>0</v>
      </c>
      <c r="Y77" s="9">
        <f>IF(Data!G78&gt;0,Data!G78,0)+Y76</f>
        <v>0</v>
      </c>
      <c r="Z77" s="9">
        <f>IF(Data!H78&gt;0,Data!H78,0)+Z76</f>
        <v>0</v>
      </c>
      <c r="AA77" s="9">
        <f>IF(Data!I78&gt;0,Data!I78,0)+AA76</f>
        <v>0</v>
      </c>
    </row>
    <row r="78" spans="10:27" x14ac:dyDescent="0.25">
      <c r="J78" s="8">
        <v>46098</v>
      </c>
      <c r="K78" s="9">
        <v>143</v>
      </c>
      <c r="L78" s="9">
        <f>IF(Data!B79-4&gt;0,Data!B79-4,0)+L77</f>
        <v>0</v>
      </c>
      <c r="M78" s="9">
        <f>IF(Data!C79-4&gt;0,Data!C79-4,0)+M77</f>
        <v>0</v>
      </c>
      <c r="N78" s="9">
        <f>IF(Data!D79-4&gt;0,Data!D79-4,0)+N77</f>
        <v>0</v>
      </c>
      <c r="O78" s="9">
        <f>IF(Data!E79-4&gt;0,Data!E79-4,0)+O77</f>
        <v>0</v>
      </c>
      <c r="P78" s="9">
        <f>IF(Data!F79-4&gt;0,Data!F79-4,0)+P77</f>
        <v>0</v>
      </c>
      <c r="Q78" s="9">
        <f>IF(Data!G79-4&gt;0,Data!G79-4,0)+Q77</f>
        <v>0</v>
      </c>
      <c r="R78" s="9">
        <f>IF(Data!H79-4&gt;0,Data!H79-4,0)+R77</f>
        <v>0</v>
      </c>
      <c r="S78" s="9">
        <f>IF(Data!I79-4&gt;0,Data!I79-4,0)+S77</f>
        <v>0</v>
      </c>
      <c r="T78" s="9">
        <f>IF(Data!B79&gt;0,Data!B79,0)+T77</f>
        <v>0</v>
      </c>
      <c r="U78" s="9">
        <f>IF(Data!C79&gt;0,Data!C79,0)+U77</f>
        <v>0</v>
      </c>
      <c r="V78" s="9">
        <f>IF(Data!D79&gt;0,Data!D79,0)+V77</f>
        <v>0</v>
      </c>
      <c r="W78" s="9">
        <f>IF(Data!E79&gt;0,Data!E79,0)+W77</f>
        <v>0</v>
      </c>
      <c r="X78" s="9">
        <f>IF(Data!F79&gt;0,Data!F79,0)+X77</f>
        <v>0</v>
      </c>
      <c r="Y78" s="9">
        <f>IF(Data!G79&gt;0,Data!G79,0)+Y77</f>
        <v>0</v>
      </c>
      <c r="Z78" s="9">
        <f>IF(Data!H79&gt;0,Data!H79,0)+Z77</f>
        <v>0</v>
      </c>
      <c r="AA78" s="9">
        <f>IF(Data!I79&gt;0,Data!I79,0)+AA77</f>
        <v>0</v>
      </c>
    </row>
    <row r="79" spans="10:27" x14ac:dyDescent="0.25">
      <c r="J79" s="8">
        <v>46099</v>
      </c>
      <c r="K79" s="9">
        <v>143</v>
      </c>
      <c r="L79" s="9">
        <f>IF(Data!B80-4&gt;0,Data!B80-4,0)+L78</f>
        <v>0</v>
      </c>
      <c r="M79" s="9">
        <f>IF(Data!C80-4&gt;0,Data!C80-4,0)+M78</f>
        <v>0</v>
      </c>
      <c r="N79" s="9">
        <f>IF(Data!D80-4&gt;0,Data!D80-4,0)+N78</f>
        <v>0</v>
      </c>
      <c r="O79" s="9">
        <f>IF(Data!E80-4&gt;0,Data!E80-4,0)+O78</f>
        <v>0</v>
      </c>
      <c r="P79" s="9">
        <f>IF(Data!F80-4&gt;0,Data!F80-4,0)+P78</f>
        <v>0</v>
      </c>
      <c r="Q79" s="9">
        <f>IF(Data!G80-4&gt;0,Data!G80-4,0)+Q78</f>
        <v>0</v>
      </c>
      <c r="R79" s="9">
        <f>IF(Data!H80-4&gt;0,Data!H80-4,0)+R78</f>
        <v>0</v>
      </c>
      <c r="S79" s="9">
        <f>IF(Data!I80-4&gt;0,Data!I80-4,0)+S78</f>
        <v>0</v>
      </c>
      <c r="T79" s="9">
        <f>IF(Data!B80&gt;0,Data!B80,0)+T78</f>
        <v>0</v>
      </c>
      <c r="U79" s="9">
        <f>IF(Data!C80&gt;0,Data!C80,0)+U78</f>
        <v>0</v>
      </c>
      <c r="V79" s="9">
        <f>IF(Data!D80&gt;0,Data!D80,0)+V78</f>
        <v>0</v>
      </c>
      <c r="W79" s="9">
        <f>IF(Data!E80&gt;0,Data!E80,0)+W78</f>
        <v>0</v>
      </c>
      <c r="X79" s="9">
        <f>IF(Data!F80&gt;0,Data!F80,0)+X78</f>
        <v>0</v>
      </c>
      <c r="Y79" s="9">
        <f>IF(Data!G80&gt;0,Data!G80,0)+Y78</f>
        <v>0</v>
      </c>
      <c r="Z79" s="9">
        <f>IF(Data!H80&gt;0,Data!H80,0)+Z78</f>
        <v>0</v>
      </c>
      <c r="AA79" s="9">
        <f>IF(Data!I80&gt;0,Data!I80,0)+AA78</f>
        <v>0</v>
      </c>
    </row>
    <row r="80" spans="10:27" x14ac:dyDescent="0.25">
      <c r="J80" s="8">
        <v>46100</v>
      </c>
      <c r="K80" s="9">
        <v>143</v>
      </c>
      <c r="L80" s="9">
        <f>IF(Data!B81-4&gt;0,Data!B81-4,0)+L79</f>
        <v>0</v>
      </c>
      <c r="M80" s="9">
        <f>IF(Data!C81-4&gt;0,Data!C81-4,0)+M79</f>
        <v>0</v>
      </c>
      <c r="N80" s="9">
        <f>IF(Data!D81-4&gt;0,Data!D81-4,0)+N79</f>
        <v>0</v>
      </c>
      <c r="O80" s="9">
        <f>IF(Data!E81-4&gt;0,Data!E81-4,0)+O79</f>
        <v>0</v>
      </c>
      <c r="P80" s="9">
        <f>IF(Data!F81-4&gt;0,Data!F81-4,0)+P79</f>
        <v>0</v>
      </c>
      <c r="Q80" s="9">
        <f>IF(Data!G81-4&gt;0,Data!G81-4,0)+Q79</f>
        <v>0</v>
      </c>
      <c r="R80" s="9">
        <f>IF(Data!H81-4&gt;0,Data!H81-4,0)+R79</f>
        <v>0</v>
      </c>
      <c r="S80" s="9">
        <f>IF(Data!I81-4&gt;0,Data!I81-4,0)+S79</f>
        <v>0</v>
      </c>
      <c r="T80" s="9">
        <f>IF(Data!B81&gt;0,Data!B81,0)+T79</f>
        <v>0</v>
      </c>
      <c r="U80" s="9">
        <f>IF(Data!C81&gt;0,Data!C81,0)+U79</f>
        <v>0</v>
      </c>
      <c r="V80" s="9">
        <f>IF(Data!D81&gt;0,Data!D81,0)+V79</f>
        <v>0</v>
      </c>
      <c r="W80" s="9">
        <f>IF(Data!E81&gt;0,Data!E81,0)+W79</f>
        <v>0</v>
      </c>
      <c r="X80" s="9">
        <f>IF(Data!F81&gt;0,Data!F81,0)+X79</f>
        <v>0</v>
      </c>
      <c r="Y80" s="9">
        <f>IF(Data!G81&gt;0,Data!G81,0)+Y79</f>
        <v>0</v>
      </c>
      <c r="Z80" s="9">
        <f>IF(Data!H81&gt;0,Data!H81,0)+Z79</f>
        <v>0</v>
      </c>
      <c r="AA80" s="9">
        <f>IF(Data!I81&gt;0,Data!I81,0)+AA79</f>
        <v>0</v>
      </c>
    </row>
    <row r="81" spans="10:27" x14ac:dyDescent="0.25">
      <c r="J81" s="8">
        <v>46101</v>
      </c>
      <c r="K81" s="9">
        <v>143</v>
      </c>
      <c r="L81" s="9">
        <f>IF(Data!B82-4&gt;0,Data!B82-4,0)+L80</f>
        <v>0</v>
      </c>
      <c r="M81" s="9">
        <f>IF(Data!C82-4&gt;0,Data!C82-4,0)+M80</f>
        <v>0</v>
      </c>
      <c r="N81" s="9">
        <f>IF(Data!D82-4&gt;0,Data!D82-4,0)+N80</f>
        <v>0</v>
      </c>
      <c r="O81" s="9">
        <f>IF(Data!E82-4&gt;0,Data!E82-4,0)+O80</f>
        <v>0</v>
      </c>
      <c r="P81" s="9">
        <f>IF(Data!F82-4&gt;0,Data!F82-4,0)+P80</f>
        <v>0</v>
      </c>
      <c r="Q81" s="9">
        <f>IF(Data!G82-4&gt;0,Data!G82-4,0)+Q80</f>
        <v>0</v>
      </c>
      <c r="R81" s="9">
        <f>IF(Data!H82-4&gt;0,Data!H82-4,0)+R80</f>
        <v>0</v>
      </c>
      <c r="S81" s="9">
        <f>IF(Data!I82-4&gt;0,Data!I82-4,0)+S80</f>
        <v>0</v>
      </c>
      <c r="T81" s="9">
        <f>IF(Data!B82&gt;0,Data!B82,0)+T80</f>
        <v>0</v>
      </c>
      <c r="U81" s="9">
        <f>IF(Data!C82&gt;0,Data!C82,0)+U80</f>
        <v>0</v>
      </c>
      <c r="V81" s="9">
        <f>IF(Data!D82&gt;0,Data!D82,0)+V80</f>
        <v>0</v>
      </c>
      <c r="W81" s="9">
        <f>IF(Data!E82&gt;0,Data!E82,0)+W80</f>
        <v>0</v>
      </c>
      <c r="X81" s="9">
        <f>IF(Data!F82&gt;0,Data!F82,0)+X80</f>
        <v>0</v>
      </c>
      <c r="Y81" s="9">
        <f>IF(Data!G82&gt;0,Data!G82,0)+Y80</f>
        <v>0</v>
      </c>
      <c r="Z81" s="9">
        <f>IF(Data!H82&gt;0,Data!H82,0)+Z80</f>
        <v>0</v>
      </c>
      <c r="AA81" s="9">
        <f>IF(Data!I82&gt;0,Data!I82,0)+AA80</f>
        <v>0</v>
      </c>
    </row>
    <row r="82" spans="10:27" x14ac:dyDescent="0.25">
      <c r="J82" s="8">
        <v>46102</v>
      </c>
      <c r="K82" s="9">
        <v>143</v>
      </c>
      <c r="L82" s="9">
        <f>IF(Data!B83-4&gt;0,Data!B83-4,0)+L81</f>
        <v>0</v>
      </c>
      <c r="M82" s="9">
        <f>IF(Data!C83-4&gt;0,Data!C83-4,0)+M81</f>
        <v>0</v>
      </c>
      <c r="N82" s="9">
        <f>IF(Data!D83-4&gt;0,Data!D83-4,0)+N81</f>
        <v>0</v>
      </c>
      <c r="O82" s="9">
        <f>IF(Data!E83-4&gt;0,Data!E83-4,0)+O81</f>
        <v>0</v>
      </c>
      <c r="P82" s="9">
        <f>IF(Data!F83-4&gt;0,Data!F83-4,0)+P81</f>
        <v>0</v>
      </c>
      <c r="Q82" s="9">
        <f>IF(Data!G83-4&gt;0,Data!G83-4,0)+Q81</f>
        <v>0</v>
      </c>
      <c r="R82" s="9">
        <f>IF(Data!H83-4&gt;0,Data!H83-4,0)+R81</f>
        <v>0</v>
      </c>
      <c r="S82" s="9">
        <f>IF(Data!I83-4&gt;0,Data!I83-4,0)+S81</f>
        <v>0</v>
      </c>
      <c r="T82" s="9">
        <f>IF(Data!B83&gt;0,Data!B83,0)+T81</f>
        <v>0</v>
      </c>
      <c r="U82" s="9">
        <f>IF(Data!C83&gt;0,Data!C83,0)+U81</f>
        <v>0</v>
      </c>
      <c r="V82" s="9">
        <f>IF(Data!D83&gt;0,Data!D83,0)+V81</f>
        <v>0</v>
      </c>
      <c r="W82" s="9">
        <f>IF(Data!E83&gt;0,Data!E83,0)+W81</f>
        <v>0</v>
      </c>
      <c r="X82" s="9">
        <f>IF(Data!F83&gt;0,Data!F83,0)+X81</f>
        <v>0</v>
      </c>
      <c r="Y82" s="9">
        <f>IF(Data!G83&gt;0,Data!G83,0)+Y81</f>
        <v>0</v>
      </c>
      <c r="Z82" s="9">
        <f>IF(Data!H83&gt;0,Data!H83,0)+Z81</f>
        <v>0</v>
      </c>
      <c r="AA82" s="9">
        <f>IF(Data!I83&gt;0,Data!I83,0)+AA81</f>
        <v>0</v>
      </c>
    </row>
    <row r="83" spans="10:27" x14ac:dyDescent="0.25">
      <c r="J83" s="8">
        <v>46103</v>
      </c>
      <c r="K83" s="9">
        <v>143</v>
      </c>
      <c r="L83" s="9">
        <f>IF(Data!B84-4&gt;0,Data!B84-4,0)+L82</f>
        <v>0</v>
      </c>
      <c r="M83" s="9">
        <f>IF(Data!C84-4&gt;0,Data!C84-4,0)+M82</f>
        <v>0</v>
      </c>
      <c r="N83" s="9">
        <f>IF(Data!D84-4&gt;0,Data!D84-4,0)+N82</f>
        <v>0</v>
      </c>
      <c r="O83" s="9">
        <f>IF(Data!E84-4&gt;0,Data!E84-4,0)+O82</f>
        <v>0</v>
      </c>
      <c r="P83" s="9">
        <f>IF(Data!F84-4&gt;0,Data!F84-4,0)+P82</f>
        <v>0</v>
      </c>
      <c r="Q83" s="9">
        <f>IF(Data!G84-4&gt;0,Data!G84-4,0)+Q82</f>
        <v>0</v>
      </c>
      <c r="R83" s="9">
        <f>IF(Data!H84-4&gt;0,Data!H84-4,0)+R82</f>
        <v>0</v>
      </c>
      <c r="S83" s="9">
        <f>IF(Data!I84-4&gt;0,Data!I84-4,0)+S82</f>
        <v>0</v>
      </c>
      <c r="T83" s="9">
        <f>IF(Data!B84&gt;0,Data!B84,0)+T82</f>
        <v>0</v>
      </c>
      <c r="U83" s="9">
        <f>IF(Data!C84&gt;0,Data!C84,0)+U82</f>
        <v>0</v>
      </c>
      <c r="V83" s="9">
        <f>IF(Data!D84&gt;0,Data!D84,0)+V82</f>
        <v>0</v>
      </c>
      <c r="W83" s="9">
        <f>IF(Data!E84&gt;0,Data!E84,0)+W82</f>
        <v>0</v>
      </c>
      <c r="X83" s="9">
        <f>IF(Data!F84&gt;0,Data!F84,0)+X82</f>
        <v>0</v>
      </c>
      <c r="Y83" s="9">
        <f>IF(Data!G84&gt;0,Data!G84,0)+Y82</f>
        <v>0</v>
      </c>
      <c r="Z83" s="9">
        <f>IF(Data!H84&gt;0,Data!H84,0)+Z82</f>
        <v>0</v>
      </c>
      <c r="AA83" s="9">
        <f>IF(Data!I84&gt;0,Data!I84,0)+AA82</f>
        <v>0</v>
      </c>
    </row>
    <row r="84" spans="10:27" x14ac:dyDescent="0.25">
      <c r="J84" s="8">
        <v>46104</v>
      </c>
      <c r="K84" s="9">
        <v>143</v>
      </c>
      <c r="L84" s="9">
        <f>IF(Data!B85-4&gt;0,Data!B85-4,0)+L83</f>
        <v>0</v>
      </c>
      <c r="M84" s="9">
        <f>IF(Data!C85-4&gt;0,Data!C85-4,0)+M83</f>
        <v>0</v>
      </c>
      <c r="N84" s="9">
        <f>IF(Data!D85-4&gt;0,Data!D85-4,0)+N83</f>
        <v>0</v>
      </c>
      <c r="O84" s="9">
        <f>IF(Data!E85-4&gt;0,Data!E85-4,0)+O83</f>
        <v>0</v>
      </c>
      <c r="P84" s="9">
        <f>IF(Data!F85-4&gt;0,Data!F85-4,0)+P83</f>
        <v>0</v>
      </c>
      <c r="Q84" s="9">
        <f>IF(Data!G85-4&gt;0,Data!G85-4,0)+Q83</f>
        <v>0</v>
      </c>
      <c r="R84" s="9">
        <f>IF(Data!H85-4&gt;0,Data!H85-4,0)+R83</f>
        <v>0</v>
      </c>
      <c r="S84" s="9">
        <f>IF(Data!I85-4&gt;0,Data!I85-4,0)+S83</f>
        <v>0</v>
      </c>
      <c r="T84" s="9">
        <f>IF(Data!B85&gt;0,Data!B85,0)+T83</f>
        <v>0</v>
      </c>
      <c r="U84" s="9">
        <f>IF(Data!C85&gt;0,Data!C85,0)+U83</f>
        <v>0</v>
      </c>
      <c r="V84" s="9">
        <f>IF(Data!D85&gt;0,Data!D85,0)+V83</f>
        <v>0</v>
      </c>
      <c r="W84" s="9">
        <f>IF(Data!E85&gt;0,Data!E85,0)+W83</f>
        <v>0</v>
      </c>
      <c r="X84" s="9">
        <f>IF(Data!F85&gt;0,Data!F85,0)+X83</f>
        <v>0</v>
      </c>
      <c r="Y84" s="9">
        <f>IF(Data!G85&gt;0,Data!G85,0)+Y83</f>
        <v>0</v>
      </c>
      <c r="Z84" s="9">
        <f>IF(Data!H85&gt;0,Data!H85,0)+Z83</f>
        <v>0</v>
      </c>
      <c r="AA84" s="9">
        <f>IF(Data!I85&gt;0,Data!I85,0)+AA83</f>
        <v>0</v>
      </c>
    </row>
    <row r="85" spans="10:27" x14ac:dyDescent="0.25">
      <c r="J85" s="8">
        <v>46105</v>
      </c>
      <c r="K85" s="9">
        <v>143</v>
      </c>
      <c r="L85" s="9">
        <f>IF(Data!B86-4&gt;0,Data!B86-4,0)+L84</f>
        <v>0</v>
      </c>
      <c r="M85" s="9">
        <f>IF(Data!C86-4&gt;0,Data!C86-4,0)+M84</f>
        <v>0</v>
      </c>
      <c r="N85" s="9">
        <f>IF(Data!D86-4&gt;0,Data!D86-4,0)+N84</f>
        <v>0</v>
      </c>
      <c r="O85" s="9">
        <f>IF(Data!E86-4&gt;0,Data!E86-4,0)+O84</f>
        <v>0</v>
      </c>
      <c r="P85" s="9">
        <f>IF(Data!F86-4&gt;0,Data!F86-4,0)+P84</f>
        <v>0</v>
      </c>
      <c r="Q85" s="9">
        <f>IF(Data!G86-4&gt;0,Data!G86-4,0)+Q84</f>
        <v>0</v>
      </c>
      <c r="R85" s="9">
        <f>IF(Data!H86-4&gt;0,Data!H86-4,0)+R84</f>
        <v>0</v>
      </c>
      <c r="S85" s="9">
        <f>IF(Data!I86-4&gt;0,Data!I86-4,0)+S84</f>
        <v>0</v>
      </c>
      <c r="T85" s="9">
        <f>IF(Data!B86&gt;0,Data!B86,0)+T84</f>
        <v>0</v>
      </c>
      <c r="U85" s="9">
        <f>IF(Data!C86&gt;0,Data!C86,0)+U84</f>
        <v>0</v>
      </c>
      <c r="V85" s="9">
        <f>IF(Data!D86&gt;0,Data!D86,0)+V84</f>
        <v>0</v>
      </c>
      <c r="W85" s="9">
        <f>IF(Data!E86&gt;0,Data!E86,0)+W84</f>
        <v>0</v>
      </c>
      <c r="X85" s="9">
        <f>IF(Data!F86&gt;0,Data!F86,0)+X84</f>
        <v>0</v>
      </c>
      <c r="Y85" s="9">
        <f>IF(Data!G86&gt;0,Data!G86,0)+Y84</f>
        <v>0</v>
      </c>
      <c r="Z85" s="9">
        <f>IF(Data!H86&gt;0,Data!H86,0)+Z84</f>
        <v>0</v>
      </c>
      <c r="AA85" s="9">
        <f>IF(Data!I86&gt;0,Data!I86,0)+AA84</f>
        <v>0</v>
      </c>
    </row>
    <row r="86" spans="10:27" x14ac:dyDescent="0.25">
      <c r="J86" s="8">
        <v>46106</v>
      </c>
      <c r="K86" s="9">
        <v>143</v>
      </c>
      <c r="L86" s="9">
        <f>IF(Data!B87-4&gt;0,Data!B87-4,0)+L85</f>
        <v>0</v>
      </c>
      <c r="M86" s="9">
        <f>IF(Data!C87-4&gt;0,Data!C87-4,0)+M85</f>
        <v>0</v>
      </c>
      <c r="N86" s="9">
        <f>IF(Data!D87-4&gt;0,Data!D87-4,0)+N85</f>
        <v>0</v>
      </c>
      <c r="O86" s="9">
        <f>IF(Data!E87-4&gt;0,Data!E87-4,0)+O85</f>
        <v>0</v>
      </c>
      <c r="P86" s="9">
        <f>IF(Data!F87-4&gt;0,Data!F87-4,0)+P85</f>
        <v>0</v>
      </c>
      <c r="Q86" s="9">
        <f>IF(Data!G87-4&gt;0,Data!G87-4,0)+Q85</f>
        <v>0</v>
      </c>
      <c r="R86" s="9">
        <f>IF(Data!H87-4&gt;0,Data!H87-4,0)+R85</f>
        <v>0</v>
      </c>
      <c r="S86" s="9">
        <f>IF(Data!I87-4&gt;0,Data!I87-4,0)+S85</f>
        <v>0</v>
      </c>
      <c r="T86" s="9">
        <f>IF(Data!B87&gt;0,Data!B87,0)+T85</f>
        <v>0</v>
      </c>
      <c r="U86" s="9">
        <f>IF(Data!C87&gt;0,Data!C87,0)+U85</f>
        <v>0</v>
      </c>
      <c r="V86" s="9">
        <f>IF(Data!D87&gt;0,Data!D87,0)+V85</f>
        <v>0</v>
      </c>
      <c r="W86" s="9">
        <f>IF(Data!E87&gt;0,Data!E87,0)+W85</f>
        <v>0</v>
      </c>
      <c r="X86" s="9">
        <f>IF(Data!F87&gt;0,Data!F87,0)+X85</f>
        <v>0</v>
      </c>
      <c r="Y86" s="9">
        <f>IF(Data!G87&gt;0,Data!G87,0)+Y85</f>
        <v>0</v>
      </c>
      <c r="Z86" s="9">
        <f>IF(Data!H87&gt;0,Data!H87,0)+Z85</f>
        <v>0</v>
      </c>
      <c r="AA86" s="9">
        <f>IF(Data!I87&gt;0,Data!I87,0)+AA85</f>
        <v>0</v>
      </c>
    </row>
    <row r="87" spans="10:27" x14ac:dyDescent="0.25">
      <c r="J87" s="8">
        <v>46107</v>
      </c>
      <c r="K87" s="9">
        <v>143</v>
      </c>
      <c r="L87" s="9">
        <f>IF(Data!B88-4&gt;0,Data!B88-4,0)+L86</f>
        <v>0</v>
      </c>
      <c r="M87" s="9">
        <f>IF(Data!C88-4&gt;0,Data!C88-4,0)+M86</f>
        <v>0</v>
      </c>
      <c r="N87" s="9">
        <f>IF(Data!D88-4&gt;0,Data!D88-4,0)+N86</f>
        <v>0</v>
      </c>
      <c r="O87" s="9">
        <f>IF(Data!E88-4&gt;0,Data!E88-4,0)+O86</f>
        <v>0</v>
      </c>
      <c r="P87" s="9">
        <f>IF(Data!F88-4&gt;0,Data!F88-4,0)+P86</f>
        <v>0</v>
      </c>
      <c r="Q87" s="9">
        <f>IF(Data!G88-4&gt;0,Data!G88-4,0)+Q86</f>
        <v>0</v>
      </c>
      <c r="R87" s="9">
        <f>IF(Data!H88-4&gt;0,Data!H88-4,0)+R86</f>
        <v>0</v>
      </c>
      <c r="S87" s="9">
        <f>IF(Data!I88-4&gt;0,Data!I88-4,0)+S86</f>
        <v>0</v>
      </c>
      <c r="T87" s="9">
        <f>IF(Data!B88&gt;0,Data!B88,0)+T86</f>
        <v>0</v>
      </c>
      <c r="U87" s="9">
        <f>IF(Data!C88&gt;0,Data!C88,0)+U86</f>
        <v>0</v>
      </c>
      <c r="V87" s="9">
        <f>IF(Data!D88&gt;0,Data!D88,0)+V86</f>
        <v>0</v>
      </c>
      <c r="W87" s="9">
        <f>IF(Data!E88&gt;0,Data!E88,0)+W86</f>
        <v>0</v>
      </c>
      <c r="X87" s="9">
        <f>IF(Data!F88&gt;0,Data!F88,0)+X86</f>
        <v>0</v>
      </c>
      <c r="Y87" s="9">
        <f>IF(Data!G88&gt;0,Data!G88,0)+Y86</f>
        <v>0</v>
      </c>
      <c r="Z87" s="9">
        <f>IF(Data!H88&gt;0,Data!H88,0)+Z86</f>
        <v>0</v>
      </c>
      <c r="AA87" s="9">
        <f>IF(Data!I88&gt;0,Data!I88,0)+AA86</f>
        <v>0</v>
      </c>
    </row>
    <row r="88" spans="10:27" x14ac:dyDescent="0.25">
      <c r="J88" s="8">
        <v>46108</v>
      </c>
      <c r="K88" s="9">
        <v>143</v>
      </c>
      <c r="L88" s="9">
        <f>IF(Data!B89-4&gt;0,Data!B89-4,0)+L87</f>
        <v>0</v>
      </c>
      <c r="M88" s="9">
        <f>IF(Data!C89-4&gt;0,Data!C89-4,0)+M87</f>
        <v>0</v>
      </c>
      <c r="N88" s="9">
        <f>IF(Data!D89-4&gt;0,Data!D89-4,0)+N87</f>
        <v>0</v>
      </c>
      <c r="O88" s="9">
        <f>IF(Data!E89-4&gt;0,Data!E89-4,0)+O87</f>
        <v>0</v>
      </c>
      <c r="P88" s="9">
        <f>IF(Data!F89-4&gt;0,Data!F89-4,0)+P87</f>
        <v>0</v>
      </c>
      <c r="Q88" s="9">
        <f>IF(Data!G89-4&gt;0,Data!G89-4,0)+Q87</f>
        <v>0</v>
      </c>
      <c r="R88" s="9">
        <f>IF(Data!H89-4&gt;0,Data!H89-4,0)+R87</f>
        <v>0</v>
      </c>
      <c r="S88" s="9">
        <f>IF(Data!I89-4&gt;0,Data!I89-4,0)+S87</f>
        <v>0</v>
      </c>
      <c r="T88" s="9">
        <f>IF(Data!B89&gt;0,Data!B89,0)+T87</f>
        <v>0</v>
      </c>
      <c r="U88" s="9">
        <f>IF(Data!C89&gt;0,Data!C89,0)+U87</f>
        <v>0</v>
      </c>
      <c r="V88" s="9">
        <f>IF(Data!D89&gt;0,Data!D89,0)+V87</f>
        <v>0</v>
      </c>
      <c r="W88" s="9">
        <f>IF(Data!E89&gt;0,Data!E89,0)+W87</f>
        <v>0</v>
      </c>
      <c r="X88" s="9">
        <f>IF(Data!F89&gt;0,Data!F89,0)+X87</f>
        <v>0</v>
      </c>
      <c r="Y88" s="9">
        <f>IF(Data!G89&gt;0,Data!G89,0)+Y87</f>
        <v>0</v>
      </c>
      <c r="Z88" s="9">
        <f>IF(Data!H89&gt;0,Data!H89,0)+Z87</f>
        <v>0</v>
      </c>
      <c r="AA88" s="9">
        <f>IF(Data!I89&gt;0,Data!I89,0)+AA87</f>
        <v>0</v>
      </c>
    </row>
    <row r="89" spans="10:27" x14ac:dyDescent="0.25">
      <c r="J89" s="8">
        <v>46109</v>
      </c>
      <c r="K89" s="9">
        <v>143</v>
      </c>
      <c r="L89" s="9">
        <f>IF(Data!B90-4&gt;0,Data!B90-4,0)+L88</f>
        <v>0</v>
      </c>
      <c r="M89" s="9">
        <f>IF(Data!C90-4&gt;0,Data!C90-4,0)+M88</f>
        <v>0</v>
      </c>
      <c r="N89" s="9">
        <f>IF(Data!D90-4&gt;0,Data!D90-4,0)+N88</f>
        <v>0</v>
      </c>
      <c r="O89" s="9">
        <f>IF(Data!E90-4&gt;0,Data!E90-4,0)+O88</f>
        <v>0</v>
      </c>
      <c r="P89" s="9">
        <f>IF(Data!F90-4&gt;0,Data!F90-4,0)+P88</f>
        <v>0</v>
      </c>
      <c r="Q89" s="9">
        <f>IF(Data!G90-4&gt;0,Data!G90-4,0)+Q88</f>
        <v>0</v>
      </c>
      <c r="R89" s="9">
        <f>IF(Data!H90-4&gt;0,Data!H90-4,0)+R88</f>
        <v>0</v>
      </c>
      <c r="S89" s="9">
        <f>IF(Data!I90-4&gt;0,Data!I90-4,0)+S88</f>
        <v>0</v>
      </c>
      <c r="T89" s="9">
        <f>IF(Data!B90&gt;0,Data!B90,0)+T88</f>
        <v>0</v>
      </c>
      <c r="U89" s="9">
        <f>IF(Data!C90&gt;0,Data!C90,0)+U88</f>
        <v>0</v>
      </c>
      <c r="V89" s="9">
        <f>IF(Data!D90&gt;0,Data!D90,0)+V88</f>
        <v>0</v>
      </c>
      <c r="W89" s="9">
        <f>IF(Data!E90&gt;0,Data!E90,0)+W88</f>
        <v>0</v>
      </c>
      <c r="X89" s="9">
        <f>IF(Data!F90&gt;0,Data!F90,0)+X88</f>
        <v>0</v>
      </c>
      <c r="Y89" s="9">
        <f>IF(Data!G90&gt;0,Data!G90,0)+Y88</f>
        <v>0</v>
      </c>
      <c r="Z89" s="9">
        <f>IF(Data!H90&gt;0,Data!H90,0)+Z88</f>
        <v>0</v>
      </c>
      <c r="AA89" s="9">
        <f>IF(Data!I90&gt;0,Data!I90,0)+AA88</f>
        <v>0</v>
      </c>
    </row>
    <row r="90" spans="10:27" x14ac:dyDescent="0.25">
      <c r="J90" s="8">
        <v>46110</v>
      </c>
      <c r="K90" s="9">
        <v>143</v>
      </c>
      <c r="L90" s="9">
        <f>IF(Data!B91-4&gt;0,Data!B91-4,0)+L89</f>
        <v>0</v>
      </c>
      <c r="M90" s="9">
        <f>IF(Data!C91-4&gt;0,Data!C91-4,0)+M89</f>
        <v>0</v>
      </c>
      <c r="N90" s="9">
        <f>IF(Data!D91-4&gt;0,Data!D91-4,0)+N89</f>
        <v>0</v>
      </c>
      <c r="O90" s="9">
        <f>IF(Data!E91-4&gt;0,Data!E91-4,0)+O89</f>
        <v>0</v>
      </c>
      <c r="P90" s="9">
        <f>IF(Data!F91-4&gt;0,Data!F91-4,0)+P89</f>
        <v>0</v>
      </c>
      <c r="Q90" s="9">
        <f>IF(Data!G91-4&gt;0,Data!G91-4,0)+Q89</f>
        <v>0</v>
      </c>
      <c r="R90" s="9">
        <f>IF(Data!H91-4&gt;0,Data!H91-4,0)+R89</f>
        <v>0</v>
      </c>
      <c r="S90" s="9">
        <f>IF(Data!I91-4&gt;0,Data!I91-4,0)+S89</f>
        <v>0</v>
      </c>
      <c r="T90" s="9">
        <f>IF(Data!B91&gt;0,Data!B91,0)+T89</f>
        <v>0</v>
      </c>
      <c r="U90" s="9">
        <f>IF(Data!C91&gt;0,Data!C91,0)+U89</f>
        <v>0</v>
      </c>
      <c r="V90" s="9">
        <f>IF(Data!D91&gt;0,Data!D91,0)+V89</f>
        <v>0</v>
      </c>
      <c r="W90" s="9">
        <f>IF(Data!E91&gt;0,Data!E91,0)+W89</f>
        <v>0</v>
      </c>
      <c r="X90" s="9">
        <f>IF(Data!F91&gt;0,Data!F91,0)+X89</f>
        <v>0</v>
      </c>
      <c r="Y90" s="9">
        <f>IF(Data!G91&gt;0,Data!G91,0)+Y89</f>
        <v>0</v>
      </c>
      <c r="Z90" s="9">
        <f>IF(Data!H91&gt;0,Data!H91,0)+Z89</f>
        <v>0</v>
      </c>
      <c r="AA90" s="9">
        <f>IF(Data!I91&gt;0,Data!I91,0)+AA89</f>
        <v>0</v>
      </c>
    </row>
    <row r="91" spans="10:27" x14ac:dyDescent="0.25">
      <c r="J91" s="8">
        <v>46111</v>
      </c>
      <c r="K91" s="9">
        <v>143</v>
      </c>
      <c r="L91" s="9">
        <f>IF(Data!B92-4&gt;0,Data!B92-4,0)+L90</f>
        <v>0</v>
      </c>
      <c r="M91" s="9">
        <f>IF(Data!C92-4&gt;0,Data!C92-4,0)+M90</f>
        <v>0</v>
      </c>
      <c r="N91" s="9">
        <f>IF(Data!D92-4&gt;0,Data!D92-4,0)+N90</f>
        <v>0</v>
      </c>
      <c r="O91" s="9">
        <f>IF(Data!E92-4&gt;0,Data!E92-4,0)+O90</f>
        <v>0</v>
      </c>
      <c r="P91" s="9">
        <f>IF(Data!F92-4&gt;0,Data!F92-4,0)+P90</f>
        <v>0</v>
      </c>
      <c r="Q91" s="9">
        <f>IF(Data!G92-4&gt;0,Data!G92-4,0)+Q90</f>
        <v>0</v>
      </c>
      <c r="R91" s="9">
        <f>IF(Data!H92-4&gt;0,Data!H92-4,0)+R90</f>
        <v>0</v>
      </c>
      <c r="S91" s="9">
        <f>IF(Data!I92-4&gt;0,Data!I92-4,0)+S90</f>
        <v>0</v>
      </c>
      <c r="T91" s="9">
        <f>IF(Data!B92&gt;0,Data!B92,0)+T90</f>
        <v>0</v>
      </c>
      <c r="U91" s="9">
        <f>IF(Data!C92&gt;0,Data!C92,0)+U90</f>
        <v>0</v>
      </c>
      <c r="V91" s="9">
        <f>IF(Data!D92&gt;0,Data!D92,0)+V90</f>
        <v>0</v>
      </c>
      <c r="W91" s="9">
        <f>IF(Data!E92&gt;0,Data!E92,0)+W90</f>
        <v>0</v>
      </c>
      <c r="X91" s="9">
        <f>IF(Data!F92&gt;0,Data!F92,0)+X90</f>
        <v>0</v>
      </c>
      <c r="Y91" s="9">
        <f>IF(Data!G92&gt;0,Data!G92,0)+Y90</f>
        <v>0</v>
      </c>
      <c r="Z91" s="9">
        <f>IF(Data!H92&gt;0,Data!H92,0)+Z90</f>
        <v>0</v>
      </c>
      <c r="AA91" s="9">
        <f>IF(Data!I92&gt;0,Data!I92,0)+AA90</f>
        <v>0</v>
      </c>
    </row>
    <row r="92" spans="10:27" x14ac:dyDescent="0.25">
      <c r="J92" s="8">
        <v>46112</v>
      </c>
      <c r="K92" s="9">
        <v>143</v>
      </c>
      <c r="L92" s="9">
        <f>IF(Data!B93-4&gt;0,Data!B93-4,0)+L91</f>
        <v>0</v>
      </c>
      <c r="M92" s="9">
        <f>IF(Data!C93-4&gt;0,Data!C93-4,0)+M91</f>
        <v>0</v>
      </c>
      <c r="N92" s="9">
        <f>IF(Data!D93-4&gt;0,Data!D93-4,0)+N91</f>
        <v>0</v>
      </c>
      <c r="O92" s="9">
        <f>IF(Data!E93-4&gt;0,Data!E93-4,0)+O91</f>
        <v>0</v>
      </c>
      <c r="P92" s="9">
        <f>IF(Data!F93-4&gt;0,Data!F93-4,0)+P91</f>
        <v>0</v>
      </c>
      <c r="Q92" s="9">
        <f>IF(Data!G93-4&gt;0,Data!G93-4,0)+Q91</f>
        <v>0</v>
      </c>
      <c r="R92" s="9">
        <f>IF(Data!H93-4&gt;0,Data!H93-4,0)+R91</f>
        <v>0</v>
      </c>
      <c r="S92" s="9">
        <f>IF(Data!I93-4&gt;0,Data!I93-4,0)+S91</f>
        <v>0</v>
      </c>
      <c r="T92" s="9">
        <f>IF(Data!B93&gt;0,Data!B93,0)+T91</f>
        <v>0</v>
      </c>
      <c r="U92" s="9">
        <f>IF(Data!C93&gt;0,Data!C93,0)+U91</f>
        <v>0</v>
      </c>
      <c r="V92" s="9">
        <f>IF(Data!D93&gt;0,Data!D93,0)+V91</f>
        <v>0</v>
      </c>
      <c r="W92" s="9">
        <f>IF(Data!E93&gt;0,Data!E93,0)+W91</f>
        <v>0</v>
      </c>
      <c r="X92" s="9">
        <f>IF(Data!F93&gt;0,Data!F93,0)+X91</f>
        <v>0</v>
      </c>
      <c r="Y92" s="9">
        <f>IF(Data!G93&gt;0,Data!G93,0)+Y91</f>
        <v>0</v>
      </c>
      <c r="Z92" s="9">
        <f>IF(Data!H93&gt;0,Data!H93,0)+Z91</f>
        <v>0</v>
      </c>
      <c r="AA92" s="9">
        <f>IF(Data!I93&gt;0,Data!I93,0)+AA91</f>
        <v>0</v>
      </c>
    </row>
  </sheetData>
  <conditionalFormatting sqref="B25:H25">
    <cfRule type="cellIs" dxfId="7" priority="2" operator="greaterThan">
      <formula>143</formula>
    </cfRule>
  </conditionalFormatting>
  <conditionalFormatting sqref="B28:H28">
    <cfRule type="cellIs" dxfId="6" priority="1" operator="greaterThan">
      <formula>143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DC7D1-698F-4916-BDCC-8C6B3CE6AAEC}">
  <dimension ref="A1:AA92"/>
  <sheetViews>
    <sheetView topLeftCell="A2" zoomScale="80" zoomScaleNormal="80" workbookViewId="0">
      <selection activeCell="H25" sqref="A24:H25"/>
    </sheetView>
  </sheetViews>
  <sheetFormatPr baseColWidth="10" defaultColWidth="11.42578125" defaultRowHeight="15" x14ac:dyDescent="0.25"/>
  <cols>
    <col min="1" max="1" width="12.5703125" customWidth="1"/>
    <col min="10" max="10" width="12.28515625" bestFit="1" customWidth="1"/>
    <col min="11" max="11" width="12.28515625" customWidth="1"/>
    <col min="12" max="12" width="11.42578125" customWidth="1"/>
    <col min="20" max="20" width="11.28515625" customWidth="1"/>
    <col min="21" max="21" width="13.140625" bestFit="1" customWidth="1"/>
  </cols>
  <sheetData>
    <row r="1" spans="10:27" ht="45" x14ac:dyDescent="0.25">
      <c r="J1" s="7" t="s">
        <v>1</v>
      </c>
      <c r="K1" s="7"/>
      <c r="L1" s="7">
        <f>Data!P3</f>
        <v>0</v>
      </c>
      <c r="M1" s="7">
        <f>Data!Q3</f>
        <v>0</v>
      </c>
      <c r="N1" s="7">
        <f>Data!R3</f>
        <v>0</v>
      </c>
      <c r="O1" s="7">
        <f>Data!S3</f>
        <v>0</v>
      </c>
      <c r="P1" s="7">
        <f>Data!T3</f>
        <v>0</v>
      </c>
      <c r="Q1" s="7">
        <f>Data!U3</f>
        <v>0</v>
      </c>
      <c r="R1" s="7">
        <f>Data!V3</f>
        <v>0</v>
      </c>
      <c r="S1" s="7"/>
      <c r="T1" s="12">
        <f>L1</f>
        <v>0</v>
      </c>
      <c r="U1" s="12">
        <f t="shared" ref="U1:Z2" si="0">M1</f>
        <v>0</v>
      </c>
      <c r="V1" s="12">
        <f t="shared" si="0"/>
        <v>0</v>
      </c>
      <c r="W1" s="12">
        <f t="shared" si="0"/>
        <v>0</v>
      </c>
      <c r="X1" s="12">
        <f t="shared" si="0"/>
        <v>0</v>
      </c>
      <c r="Y1" s="12">
        <f t="shared" si="0"/>
        <v>0</v>
      </c>
      <c r="Z1" s="12">
        <f t="shared" si="0"/>
        <v>0</v>
      </c>
      <c r="AA1" s="12"/>
    </row>
    <row r="2" spans="10:27" x14ac:dyDescent="0.25">
      <c r="J2" s="7" t="s">
        <v>0</v>
      </c>
      <c r="K2" s="7" t="s">
        <v>3</v>
      </c>
      <c r="L2" s="7" t="e">
        <f ca="1">_xlfn.CONCAT(Data!P1," (",Data!P2,")")</f>
        <v>#NAME?</v>
      </c>
      <c r="M2" s="7" t="e">
        <f ca="1">_xlfn.CONCAT(Data!Q1," (",Data!Q2,")")</f>
        <v>#NAME?</v>
      </c>
      <c r="N2" s="7" t="e">
        <f ca="1">_xlfn.CONCAT(Data!R1," (",Data!R2,")")</f>
        <v>#NAME?</v>
      </c>
      <c r="O2" s="7" t="e">
        <f ca="1">_xlfn.CONCAT(Data!S1," (",Data!S2,")")</f>
        <v>#NAME?</v>
      </c>
      <c r="P2" s="7" t="e">
        <f ca="1">_xlfn.CONCAT(Data!T1," (",Data!T2,")")</f>
        <v>#NAME?</v>
      </c>
      <c r="Q2" s="7" t="e">
        <f ca="1">_xlfn.CONCAT(Data!U1," (",Data!U2,")")</f>
        <v>#NAME?</v>
      </c>
      <c r="R2" s="7" t="e">
        <f ca="1">_xlfn.CONCAT(Data!V1," (",Data!V2,")")</f>
        <v>#NAME?</v>
      </c>
      <c r="S2" s="7"/>
      <c r="T2" s="12" t="e">
        <f ca="1">L2</f>
        <v>#NAME?</v>
      </c>
      <c r="U2" s="12" t="e">
        <f t="shared" ca="1" si="0"/>
        <v>#NAME?</v>
      </c>
      <c r="V2" s="12" t="e">
        <f t="shared" ca="1" si="0"/>
        <v>#NAME?</v>
      </c>
      <c r="W2" s="12" t="e">
        <f t="shared" ca="1" si="0"/>
        <v>#NAME?</v>
      </c>
      <c r="X2" s="12" t="e">
        <f t="shared" ca="1" si="0"/>
        <v>#NAME?</v>
      </c>
      <c r="Y2" s="12" t="e">
        <f t="shared" ca="1" si="0"/>
        <v>#NAME?</v>
      </c>
      <c r="Z2" s="12" t="e">
        <f t="shared" ca="1" si="0"/>
        <v>#NAME?</v>
      </c>
      <c r="AA2" s="12"/>
    </row>
    <row r="3" spans="10:27" x14ac:dyDescent="0.25">
      <c r="J3" s="8">
        <v>46023</v>
      </c>
      <c r="K3" s="9">
        <v>143</v>
      </c>
      <c r="L3" s="9">
        <f>IF(Data!P4-4&gt;0,Data!P4-4,0)</f>
        <v>0</v>
      </c>
      <c r="M3" s="9">
        <f>IF(Data!Q4-4&gt;0,Data!Q4-4,0)</f>
        <v>0</v>
      </c>
      <c r="N3" s="9">
        <f>IF(Data!R4-4&gt;0,Data!R4-4,0)</f>
        <v>0</v>
      </c>
      <c r="O3" s="9">
        <f>IF(Data!S4-4&gt;0,Data!S4-4,0)</f>
        <v>0</v>
      </c>
      <c r="P3" s="9">
        <f>IF(Data!T4-4&gt;0,Data!T4-4,0)</f>
        <v>0</v>
      </c>
      <c r="Q3" s="9">
        <f>IF(Data!U4-4&gt;0,Data!U4-4,0)</f>
        <v>0</v>
      </c>
      <c r="R3" s="9">
        <f>IF(Data!V4-4&gt;0,Data!V4-4,0)</f>
        <v>0</v>
      </c>
      <c r="S3" s="9"/>
      <c r="T3" s="9">
        <f>IF(Data!P4&gt;0,Data!P4,0)</f>
        <v>0</v>
      </c>
      <c r="U3" s="9">
        <f>IF(Data!Q4&gt;0,Data!Q4,0)</f>
        <v>0</v>
      </c>
      <c r="V3" s="9">
        <f>IF(Data!R4&gt;0,Data!R4,0)</f>
        <v>0</v>
      </c>
      <c r="W3" s="9">
        <f>IF(Data!S4&gt;0,Data!S4,0)</f>
        <v>0</v>
      </c>
      <c r="X3" s="9">
        <f>IF(Data!T4&gt;0,Data!T4,0)</f>
        <v>0</v>
      </c>
      <c r="Y3" s="9">
        <f>IF(Data!U4&gt;0,Data!U4,0)</f>
        <v>0</v>
      </c>
      <c r="Z3" s="9">
        <f>IF(Data!V4&gt;0,Data!V4,0)</f>
        <v>0</v>
      </c>
      <c r="AA3" s="9"/>
    </row>
    <row r="4" spans="10:27" x14ac:dyDescent="0.25">
      <c r="J4" s="8">
        <v>46024</v>
      </c>
      <c r="K4" s="9">
        <v>143</v>
      </c>
      <c r="L4" s="9">
        <f>IF(Data!P5-4&gt;0,Data!P5-4,0)+L3</f>
        <v>0</v>
      </c>
      <c r="M4" s="9">
        <f>IF(Data!Q5-4&gt;0,Data!Q5-4,0)+M3</f>
        <v>0</v>
      </c>
      <c r="N4" s="9">
        <f>IF(Data!R5-4&gt;0,Data!R5-4,0)+N3</f>
        <v>0</v>
      </c>
      <c r="O4" s="9">
        <f>IF(Data!S5-4&gt;0,Data!S5-4,0)+O3</f>
        <v>0</v>
      </c>
      <c r="P4" s="9">
        <f>IF(Data!T5-4&gt;0,Data!T5-4,0)+P3</f>
        <v>0</v>
      </c>
      <c r="Q4" s="9">
        <f>IF(Data!U5-4&gt;0,Data!U5-4,0)+Q3</f>
        <v>0</v>
      </c>
      <c r="R4" s="9">
        <f>IF(Data!V5-4&gt;0,Data!V5-4,0)+R3</f>
        <v>0</v>
      </c>
      <c r="S4" s="9"/>
      <c r="T4" s="9">
        <f>IF(Data!P5&gt;0,Data!P5,0)+T3</f>
        <v>0</v>
      </c>
      <c r="U4" s="9">
        <f>IF(Data!Q5&gt;0,Data!Q5,0)+U3</f>
        <v>0</v>
      </c>
      <c r="V4" s="9">
        <f>IF(Data!R5&gt;0,Data!R5,0)+V3</f>
        <v>0</v>
      </c>
      <c r="W4" s="9">
        <f>IF(Data!S5&gt;0,Data!S5,0)+W3</f>
        <v>0</v>
      </c>
      <c r="X4" s="9">
        <f>IF(Data!T5&gt;0,Data!T5,0)+X3</f>
        <v>0</v>
      </c>
      <c r="Y4" s="9">
        <f>IF(Data!U5&gt;0,Data!U5,0)+Y3</f>
        <v>0</v>
      </c>
      <c r="Z4" s="9">
        <f>IF(Data!V5&gt;0,Data!V5,0)+Z3</f>
        <v>0</v>
      </c>
      <c r="AA4" s="9"/>
    </row>
    <row r="5" spans="10:27" x14ac:dyDescent="0.25">
      <c r="J5" s="8">
        <v>46025</v>
      </c>
      <c r="K5" s="9">
        <v>143</v>
      </c>
      <c r="L5" s="9">
        <f>IF(Data!P6-4&gt;0,Data!P6-4,0)+L4</f>
        <v>0</v>
      </c>
      <c r="M5" s="9">
        <f>IF(Data!Q6-4&gt;0,Data!Q6-4,0)+M4</f>
        <v>0</v>
      </c>
      <c r="N5" s="9">
        <f>IF(Data!R6-4&gt;0,Data!R6-4,0)+N4</f>
        <v>0</v>
      </c>
      <c r="O5" s="9">
        <f>IF(Data!S6-4&gt;0,Data!S6-4,0)+O4</f>
        <v>0</v>
      </c>
      <c r="P5" s="9">
        <f>IF(Data!T6-4&gt;0,Data!T6-4,0)+P4</f>
        <v>0</v>
      </c>
      <c r="Q5" s="9">
        <f>IF(Data!U6-4&gt;0,Data!U6-4,0)+Q4</f>
        <v>0</v>
      </c>
      <c r="R5" s="9">
        <f>IF(Data!V6-4&gt;0,Data!V6-4,0)+R4</f>
        <v>0</v>
      </c>
      <c r="S5" s="9"/>
      <c r="T5" s="9">
        <f>IF(Data!P6&gt;0,Data!P6,0)+T4</f>
        <v>0</v>
      </c>
      <c r="U5" s="9">
        <f>IF(Data!Q6&gt;0,Data!Q6,0)+U4</f>
        <v>0</v>
      </c>
      <c r="V5" s="9">
        <f>IF(Data!R6&gt;0,Data!R6,0)+V4</f>
        <v>0</v>
      </c>
      <c r="W5" s="9">
        <f>IF(Data!S6&gt;0,Data!S6,0)+W4</f>
        <v>0</v>
      </c>
      <c r="X5" s="9">
        <f>IF(Data!T6&gt;0,Data!T6,0)+X4</f>
        <v>0</v>
      </c>
      <c r="Y5" s="9">
        <f>IF(Data!U6&gt;0,Data!U6,0)+Y4</f>
        <v>0</v>
      </c>
      <c r="Z5" s="9">
        <f>IF(Data!V6&gt;0,Data!V6,0)+Z4</f>
        <v>0</v>
      </c>
      <c r="AA5" s="9"/>
    </row>
    <row r="6" spans="10:27" x14ac:dyDescent="0.25">
      <c r="J6" s="8">
        <v>46026</v>
      </c>
      <c r="K6" s="9">
        <v>143</v>
      </c>
      <c r="L6" s="9">
        <f>IF(Data!P7-4&gt;0,Data!P7-4,0)+L5</f>
        <v>0</v>
      </c>
      <c r="M6" s="9">
        <f>IF(Data!Q7-4&gt;0,Data!Q7-4,0)+M5</f>
        <v>0</v>
      </c>
      <c r="N6" s="9">
        <f>IF(Data!R7-4&gt;0,Data!R7-4,0)+N5</f>
        <v>0</v>
      </c>
      <c r="O6" s="9">
        <f>IF(Data!S7-4&gt;0,Data!S7-4,0)+O5</f>
        <v>0</v>
      </c>
      <c r="P6" s="9">
        <f>IF(Data!T7-4&gt;0,Data!T7-4,0)+P5</f>
        <v>0</v>
      </c>
      <c r="Q6" s="9">
        <f>IF(Data!U7-4&gt;0,Data!U7-4,0)+Q5</f>
        <v>0</v>
      </c>
      <c r="R6" s="9">
        <f>IF(Data!V7-4&gt;0,Data!V7-4,0)+R5</f>
        <v>0</v>
      </c>
      <c r="S6" s="9"/>
      <c r="T6" s="9">
        <f>IF(Data!P7&gt;0,Data!P7,0)+T5</f>
        <v>0</v>
      </c>
      <c r="U6" s="9">
        <f>IF(Data!Q7&gt;0,Data!Q7,0)+U5</f>
        <v>0</v>
      </c>
      <c r="V6" s="9">
        <f>IF(Data!R7&gt;0,Data!R7,0)+V5</f>
        <v>0</v>
      </c>
      <c r="W6" s="9">
        <f>IF(Data!S7&gt;0,Data!S7,0)+W5</f>
        <v>0</v>
      </c>
      <c r="X6" s="9">
        <f>IF(Data!T7&gt;0,Data!T7,0)+X5</f>
        <v>0</v>
      </c>
      <c r="Y6" s="9">
        <f>IF(Data!U7&gt;0,Data!U7,0)+Y5</f>
        <v>0</v>
      </c>
      <c r="Z6" s="9">
        <f>IF(Data!V7&gt;0,Data!V7,0)+Z5</f>
        <v>0</v>
      </c>
      <c r="AA6" s="9"/>
    </row>
    <row r="7" spans="10:27" x14ac:dyDescent="0.25">
      <c r="J7" s="8">
        <v>46027</v>
      </c>
      <c r="K7" s="9">
        <v>143</v>
      </c>
      <c r="L7" s="9">
        <f>IF(Data!P8-4&gt;0,Data!P8-4,0)+L6</f>
        <v>0</v>
      </c>
      <c r="M7" s="9">
        <f>IF(Data!Q8-4&gt;0,Data!Q8-4,0)+M6</f>
        <v>0</v>
      </c>
      <c r="N7" s="9">
        <f>IF(Data!R8-4&gt;0,Data!R8-4,0)+N6</f>
        <v>0</v>
      </c>
      <c r="O7" s="9">
        <f>IF(Data!S8-4&gt;0,Data!S8-4,0)+O6</f>
        <v>0</v>
      </c>
      <c r="P7" s="9">
        <f>IF(Data!T8-4&gt;0,Data!T8-4,0)+P6</f>
        <v>0</v>
      </c>
      <c r="Q7" s="9">
        <f>IF(Data!U8-4&gt;0,Data!U8-4,0)+Q6</f>
        <v>0</v>
      </c>
      <c r="R7" s="9">
        <f>IF(Data!V8-4&gt;0,Data!V8-4,0)+R6</f>
        <v>0</v>
      </c>
      <c r="S7" s="9"/>
      <c r="T7" s="9">
        <f>IF(Data!P8&gt;0,Data!P8,0)+T6</f>
        <v>0</v>
      </c>
      <c r="U7" s="9">
        <f>IF(Data!Q8&gt;0,Data!Q8,0)+U6</f>
        <v>0</v>
      </c>
      <c r="V7" s="9">
        <f>IF(Data!R8&gt;0,Data!R8,0)+V6</f>
        <v>0</v>
      </c>
      <c r="W7" s="9">
        <f>IF(Data!S8&gt;0,Data!S8,0)+W6</f>
        <v>0</v>
      </c>
      <c r="X7" s="9">
        <f>IF(Data!T8&gt;0,Data!T8,0)+X6</f>
        <v>0</v>
      </c>
      <c r="Y7" s="9">
        <f>IF(Data!U8&gt;0,Data!U8,0)+Y6</f>
        <v>0</v>
      </c>
      <c r="Z7" s="9">
        <f>IF(Data!V8&gt;0,Data!V8,0)+Z6</f>
        <v>0</v>
      </c>
      <c r="AA7" s="9"/>
    </row>
    <row r="8" spans="10:27" x14ac:dyDescent="0.25">
      <c r="J8" s="8">
        <v>46028</v>
      </c>
      <c r="K8" s="9">
        <v>143</v>
      </c>
      <c r="L8" s="9">
        <f>IF(Data!P9-4&gt;0,Data!P9-4,0)+L7</f>
        <v>0</v>
      </c>
      <c r="M8" s="9">
        <f>IF(Data!Q9-4&gt;0,Data!Q9-4,0)+M7</f>
        <v>0</v>
      </c>
      <c r="N8" s="9">
        <f>IF(Data!R9-4&gt;0,Data!R9-4,0)+N7</f>
        <v>0</v>
      </c>
      <c r="O8" s="9">
        <f>IF(Data!S9-4&gt;0,Data!S9-4,0)+O7</f>
        <v>0</v>
      </c>
      <c r="P8" s="9">
        <f>IF(Data!T9-4&gt;0,Data!T9-4,0)+P7</f>
        <v>0</v>
      </c>
      <c r="Q8" s="9">
        <f>IF(Data!U9-4&gt;0,Data!U9-4,0)+Q7</f>
        <v>0</v>
      </c>
      <c r="R8" s="9">
        <f>IF(Data!V9-4&gt;0,Data!V9-4,0)+R7</f>
        <v>0</v>
      </c>
      <c r="S8" s="9"/>
      <c r="T8" s="9">
        <f>IF(Data!P9&gt;0,Data!P9,0)+T7</f>
        <v>0</v>
      </c>
      <c r="U8" s="9">
        <f>IF(Data!Q9&gt;0,Data!Q9,0)+U7</f>
        <v>0</v>
      </c>
      <c r="V8" s="9">
        <f>IF(Data!R9&gt;0,Data!R9,0)+V7</f>
        <v>0</v>
      </c>
      <c r="W8" s="9">
        <f>IF(Data!S9&gt;0,Data!S9,0)+W7</f>
        <v>0</v>
      </c>
      <c r="X8" s="9">
        <f>IF(Data!T9&gt;0,Data!T9,0)+X7</f>
        <v>0</v>
      </c>
      <c r="Y8" s="9">
        <f>IF(Data!U9&gt;0,Data!U9,0)+Y7</f>
        <v>0</v>
      </c>
      <c r="Z8" s="9">
        <f>IF(Data!V9&gt;0,Data!V9,0)+Z7</f>
        <v>0</v>
      </c>
      <c r="AA8" s="9"/>
    </row>
    <row r="9" spans="10:27" x14ac:dyDescent="0.25">
      <c r="J9" s="8">
        <v>46029</v>
      </c>
      <c r="K9" s="9">
        <v>143</v>
      </c>
      <c r="L9" s="9">
        <f>IF(Data!P10-4&gt;0,Data!P10-4,0)+L8</f>
        <v>0</v>
      </c>
      <c r="M9" s="9">
        <f>IF(Data!Q10-4&gt;0,Data!Q10-4,0)+M8</f>
        <v>0</v>
      </c>
      <c r="N9" s="9">
        <f>IF(Data!R10-4&gt;0,Data!R10-4,0)+N8</f>
        <v>0</v>
      </c>
      <c r="O9" s="9">
        <f>IF(Data!S10-4&gt;0,Data!S10-4,0)+O8</f>
        <v>0</v>
      </c>
      <c r="P9" s="9">
        <f>IF(Data!T10-4&gt;0,Data!T10-4,0)+P8</f>
        <v>0</v>
      </c>
      <c r="Q9" s="9">
        <f>IF(Data!U10-4&gt;0,Data!U10-4,0)+Q8</f>
        <v>0</v>
      </c>
      <c r="R9" s="9">
        <f>IF(Data!V10-4&gt;0,Data!V10-4,0)+R8</f>
        <v>0</v>
      </c>
      <c r="S9" s="9"/>
      <c r="T9" s="9">
        <f>IF(Data!P10&gt;0,Data!P10,0)+T8</f>
        <v>0</v>
      </c>
      <c r="U9" s="9">
        <f>IF(Data!Q10&gt;0,Data!Q10,0)+U8</f>
        <v>0</v>
      </c>
      <c r="V9" s="9">
        <f>IF(Data!R10&gt;0,Data!R10,0)+V8</f>
        <v>0</v>
      </c>
      <c r="W9" s="9">
        <f>IF(Data!S10&gt;0,Data!S10,0)+W8</f>
        <v>0</v>
      </c>
      <c r="X9" s="9">
        <f>IF(Data!T10&gt;0,Data!T10,0)+X8</f>
        <v>0</v>
      </c>
      <c r="Y9" s="9">
        <f>IF(Data!U10&gt;0,Data!U10,0)+Y8</f>
        <v>0</v>
      </c>
      <c r="Z9" s="9">
        <f>IF(Data!V10&gt;0,Data!V10,0)+Z8</f>
        <v>0</v>
      </c>
      <c r="AA9" s="9"/>
    </row>
    <row r="10" spans="10:27" x14ac:dyDescent="0.25">
      <c r="J10" s="8">
        <v>46030</v>
      </c>
      <c r="K10" s="9">
        <v>143</v>
      </c>
      <c r="L10" s="9">
        <f>IF(Data!P11-4&gt;0,Data!P11-4,0)+L9</f>
        <v>0</v>
      </c>
      <c r="M10" s="9">
        <f>IF(Data!Q11-4&gt;0,Data!Q11-4,0)+M9</f>
        <v>0</v>
      </c>
      <c r="N10" s="9">
        <f>IF(Data!R11-4&gt;0,Data!R11-4,0)+N9</f>
        <v>0</v>
      </c>
      <c r="O10" s="9">
        <f>IF(Data!S11-4&gt;0,Data!S11-4,0)+O9</f>
        <v>0</v>
      </c>
      <c r="P10" s="9">
        <f>IF(Data!T11-4&gt;0,Data!T11-4,0)+P9</f>
        <v>0</v>
      </c>
      <c r="Q10" s="9">
        <f>IF(Data!U11-4&gt;0,Data!U11-4,0)+Q9</f>
        <v>0</v>
      </c>
      <c r="R10" s="9">
        <f>IF(Data!V11-4&gt;0,Data!V11-4,0)+R9</f>
        <v>0</v>
      </c>
      <c r="S10" s="9"/>
      <c r="T10" s="9">
        <f>IF(Data!P11&gt;0,Data!P11,0)+T9</f>
        <v>0</v>
      </c>
      <c r="U10" s="9">
        <f>IF(Data!Q11&gt;0,Data!Q11,0)+U9</f>
        <v>0</v>
      </c>
      <c r="V10" s="9">
        <f>IF(Data!R11&gt;0,Data!R11,0)+V9</f>
        <v>0</v>
      </c>
      <c r="W10" s="9">
        <f>IF(Data!S11&gt;0,Data!S11,0)+W9</f>
        <v>0</v>
      </c>
      <c r="X10" s="9">
        <f>IF(Data!T11&gt;0,Data!T11,0)+X9</f>
        <v>0</v>
      </c>
      <c r="Y10" s="9">
        <f>IF(Data!U11&gt;0,Data!U11,0)+Y9</f>
        <v>0</v>
      </c>
      <c r="Z10" s="9">
        <f>IF(Data!V11&gt;0,Data!V11,0)+Z9</f>
        <v>0</v>
      </c>
      <c r="AA10" s="9"/>
    </row>
    <row r="11" spans="10:27" x14ac:dyDescent="0.25">
      <c r="J11" s="8">
        <v>46031</v>
      </c>
      <c r="K11" s="9">
        <v>143</v>
      </c>
      <c r="L11" s="9">
        <f>IF(Data!P12-4&gt;0,Data!P12-4,0)+L10</f>
        <v>0</v>
      </c>
      <c r="M11" s="9">
        <f>IF(Data!Q12-4&gt;0,Data!Q12-4,0)+M10</f>
        <v>0</v>
      </c>
      <c r="N11" s="9">
        <f>IF(Data!R12-4&gt;0,Data!R12-4,0)+N10</f>
        <v>0</v>
      </c>
      <c r="O11" s="9">
        <f>IF(Data!S12-4&gt;0,Data!S12-4,0)+O10</f>
        <v>0</v>
      </c>
      <c r="P11" s="9">
        <f>IF(Data!T12-4&gt;0,Data!T12-4,0)+P10</f>
        <v>0</v>
      </c>
      <c r="Q11" s="9">
        <f>IF(Data!U12-4&gt;0,Data!U12-4,0)+Q10</f>
        <v>0</v>
      </c>
      <c r="R11" s="9">
        <f>IF(Data!V12-4&gt;0,Data!V12-4,0)+R10</f>
        <v>0</v>
      </c>
      <c r="S11" s="9"/>
      <c r="T11" s="9">
        <f>IF(Data!P12&gt;0,Data!P12,0)+T10</f>
        <v>0</v>
      </c>
      <c r="U11" s="9">
        <f>IF(Data!Q12&gt;0,Data!Q12,0)+U10</f>
        <v>0</v>
      </c>
      <c r="V11" s="9">
        <f>IF(Data!R12&gt;0,Data!R12,0)+V10</f>
        <v>0</v>
      </c>
      <c r="W11" s="9">
        <f>IF(Data!S12&gt;0,Data!S12,0)+W10</f>
        <v>0</v>
      </c>
      <c r="X11" s="9">
        <f>IF(Data!T12&gt;0,Data!T12,0)+X10</f>
        <v>0</v>
      </c>
      <c r="Y11" s="9">
        <f>IF(Data!U12&gt;0,Data!U12,0)+Y10</f>
        <v>0</v>
      </c>
      <c r="Z11" s="9">
        <f>IF(Data!V12&gt;0,Data!V12,0)+Z10</f>
        <v>0</v>
      </c>
      <c r="AA11" s="9"/>
    </row>
    <row r="12" spans="10:27" x14ac:dyDescent="0.25">
      <c r="J12" s="8">
        <v>46032</v>
      </c>
      <c r="K12" s="9">
        <v>143</v>
      </c>
      <c r="L12" s="9">
        <f>IF(Data!P13-4&gt;0,Data!P13-4,0)+L11</f>
        <v>0</v>
      </c>
      <c r="M12" s="9">
        <f>IF(Data!Q13-4&gt;0,Data!Q13-4,0)+M11</f>
        <v>0</v>
      </c>
      <c r="N12" s="9">
        <f>IF(Data!R13-4&gt;0,Data!R13-4,0)+N11</f>
        <v>0</v>
      </c>
      <c r="O12" s="9">
        <f>IF(Data!S13-4&gt;0,Data!S13-4,0)+O11</f>
        <v>0</v>
      </c>
      <c r="P12" s="9">
        <f>IF(Data!T13-4&gt;0,Data!T13-4,0)+P11</f>
        <v>0</v>
      </c>
      <c r="Q12" s="9">
        <f>IF(Data!U13-4&gt;0,Data!U13-4,0)+Q11</f>
        <v>0</v>
      </c>
      <c r="R12" s="9">
        <f>IF(Data!V13-4&gt;0,Data!V13-4,0)+R11</f>
        <v>0</v>
      </c>
      <c r="S12" s="9"/>
      <c r="T12" s="9">
        <f>IF(Data!P13&gt;0,Data!P13,0)+T11</f>
        <v>0</v>
      </c>
      <c r="U12" s="9">
        <f>IF(Data!Q13&gt;0,Data!Q13,0)+U11</f>
        <v>0</v>
      </c>
      <c r="V12" s="9">
        <f>IF(Data!R13&gt;0,Data!R13,0)+V11</f>
        <v>0</v>
      </c>
      <c r="W12" s="9">
        <f>IF(Data!S13&gt;0,Data!S13,0)+W11</f>
        <v>0</v>
      </c>
      <c r="X12" s="9">
        <f>IF(Data!T13&gt;0,Data!T13,0)+X11</f>
        <v>0</v>
      </c>
      <c r="Y12" s="9">
        <f>IF(Data!U13&gt;0,Data!U13,0)+Y11</f>
        <v>0</v>
      </c>
      <c r="Z12" s="9">
        <f>IF(Data!V13&gt;0,Data!V13,0)+Z11</f>
        <v>0</v>
      </c>
      <c r="AA12" s="9"/>
    </row>
    <row r="13" spans="10:27" x14ac:dyDescent="0.25">
      <c r="J13" s="8">
        <v>46033</v>
      </c>
      <c r="K13" s="9">
        <v>143</v>
      </c>
      <c r="L13" s="9">
        <f>IF(Data!P14-4&gt;0,Data!P14-4,0)+L12</f>
        <v>0</v>
      </c>
      <c r="M13" s="9">
        <f>IF(Data!Q14-4&gt;0,Data!Q14-4,0)+M12</f>
        <v>0</v>
      </c>
      <c r="N13" s="9">
        <f>IF(Data!R14-4&gt;0,Data!R14-4,0)+N12</f>
        <v>0</v>
      </c>
      <c r="O13" s="9">
        <f>IF(Data!S14-4&gt;0,Data!S14-4,0)+O12</f>
        <v>0</v>
      </c>
      <c r="P13" s="9">
        <f>IF(Data!T14-4&gt;0,Data!T14-4,0)+P12</f>
        <v>0</v>
      </c>
      <c r="Q13" s="9">
        <f>IF(Data!U14-4&gt;0,Data!U14-4,0)+Q12</f>
        <v>0</v>
      </c>
      <c r="R13" s="9">
        <f>IF(Data!V14-4&gt;0,Data!V14-4,0)+R12</f>
        <v>0</v>
      </c>
      <c r="S13" s="9"/>
      <c r="T13" s="9">
        <f>IF(Data!P14&gt;0,Data!P14,0)+T12</f>
        <v>0</v>
      </c>
      <c r="U13" s="9">
        <f>IF(Data!Q14&gt;0,Data!Q14,0)+U12</f>
        <v>0</v>
      </c>
      <c r="V13" s="9">
        <f>IF(Data!R14&gt;0,Data!R14,0)+V12</f>
        <v>0</v>
      </c>
      <c r="W13" s="9">
        <f>IF(Data!S14&gt;0,Data!S14,0)+W12</f>
        <v>0</v>
      </c>
      <c r="X13" s="9">
        <f>IF(Data!T14&gt;0,Data!T14,0)+X12</f>
        <v>0</v>
      </c>
      <c r="Y13" s="9">
        <f>IF(Data!U14&gt;0,Data!U14,0)+Y12</f>
        <v>0</v>
      </c>
      <c r="Z13" s="9">
        <f>IF(Data!V14&gt;0,Data!V14,0)+Z12</f>
        <v>0</v>
      </c>
      <c r="AA13" s="9"/>
    </row>
    <row r="14" spans="10:27" x14ac:dyDescent="0.25">
      <c r="J14" s="8">
        <v>46034</v>
      </c>
      <c r="K14" s="9">
        <v>143</v>
      </c>
      <c r="L14" s="9">
        <f>IF(Data!P15-4&gt;0,Data!P15-4,0)+L13</f>
        <v>0</v>
      </c>
      <c r="M14" s="9">
        <f>IF(Data!Q15-4&gt;0,Data!Q15-4,0)+M13</f>
        <v>0</v>
      </c>
      <c r="N14" s="9">
        <f>IF(Data!R15-4&gt;0,Data!R15-4,0)+N13</f>
        <v>0</v>
      </c>
      <c r="O14" s="9">
        <f>IF(Data!S15-4&gt;0,Data!S15-4,0)+O13</f>
        <v>0</v>
      </c>
      <c r="P14" s="9">
        <f>IF(Data!T15-4&gt;0,Data!T15-4,0)+P13</f>
        <v>0</v>
      </c>
      <c r="Q14" s="9">
        <f>IF(Data!U15-4&gt;0,Data!U15-4,0)+Q13</f>
        <v>0</v>
      </c>
      <c r="R14" s="9">
        <f>IF(Data!V15-4&gt;0,Data!V15-4,0)+R13</f>
        <v>0</v>
      </c>
      <c r="S14" s="9"/>
      <c r="T14" s="9">
        <f>IF(Data!P15&gt;0,Data!P15,0)+T13</f>
        <v>0</v>
      </c>
      <c r="U14" s="9">
        <f>IF(Data!Q15&gt;0,Data!Q15,0)+U13</f>
        <v>0</v>
      </c>
      <c r="V14" s="9">
        <f>IF(Data!R15&gt;0,Data!R15,0)+V13</f>
        <v>0</v>
      </c>
      <c r="W14" s="9">
        <f>IF(Data!S15&gt;0,Data!S15,0)+W13</f>
        <v>0</v>
      </c>
      <c r="X14" s="9">
        <f>IF(Data!T15&gt;0,Data!T15,0)+X13</f>
        <v>0</v>
      </c>
      <c r="Y14" s="9">
        <f>IF(Data!U15&gt;0,Data!U15,0)+Y13</f>
        <v>0</v>
      </c>
      <c r="Z14" s="9">
        <f>IF(Data!V15&gt;0,Data!V15,0)+Z13</f>
        <v>0</v>
      </c>
      <c r="AA14" s="9"/>
    </row>
    <row r="15" spans="10:27" x14ac:dyDescent="0.25">
      <c r="J15" s="8">
        <v>46035</v>
      </c>
      <c r="K15" s="9">
        <v>143</v>
      </c>
      <c r="L15" s="9">
        <f>IF(Data!P16-4&gt;0,Data!P16-4,0)+L14</f>
        <v>0</v>
      </c>
      <c r="M15" s="9">
        <f>IF(Data!Q16-4&gt;0,Data!Q16-4,0)+M14</f>
        <v>0</v>
      </c>
      <c r="N15" s="9">
        <f>IF(Data!R16-4&gt;0,Data!R16-4,0)+N14</f>
        <v>0</v>
      </c>
      <c r="O15" s="9">
        <f>IF(Data!S16-4&gt;0,Data!S16-4,0)+O14</f>
        <v>0</v>
      </c>
      <c r="P15" s="9">
        <f>IF(Data!T16-4&gt;0,Data!T16-4,0)+P14</f>
        <v>0</v>
      </c>
      <c r="Q15" s="9">
        <f>IF(Data!U16-4&gt;0,Data!U16-4,0)+Q14</f>
        <v>0</v>
      </c>
      <c r="R15" s="9">
        <f>IF(Data!V16-4&gt;0,Data!V16-4,0)+R14</f>
        <v>0</v>
      </c>
      <c r="S15" s="9"/>
      <c r="T15" s="9">
        <f>IF(Data!P16&gt;0,Data!P16,0)+T14</f>
        <v>0</v>
      </c>
      <c r="U15" s="9">
        <f>IF(Data!Q16&gt;0,Data!Q16,0)+U14</f>
        <v>0</v>
      </c>
      <c r="V15" s="9">
        <f>IF(Data!R16&gt;0,Data!R16,0)+V14</f>
        <v>0</v>
      </c>
      <c r="W15" s="9">
        <f>IF(Data!S16&gt;0,Data!S16,0)+W14</f>
        <v>0</v>
      </c>
      <c r="X15" s="9">
        <f>IF(Data!T16&gt;0,Data!T16,0)+X14</f>
        <v>0</v>
      </c>
      <c r="Y15" s="9">
        <f>IF(Data!U16&gt;0,Data!U16,0)+Y14</f>
        <v>0</v>
      </c>
      <c r="Z15" s="9">
        <f>IF(Data!V16&gt;0,Data!V16,0)+Z14</f>
        <v>0</v>
      </c>
      <c r="AA15" s="9"/>
    </row>
    <row r="16" spans="10:27" x14ac:dyDescent="0.25">
      <c r="J16" s="8">
        <v>46036</v>
      </c>
      <c r="K16" s="9">
        <v>143</v>
      </c>
      <c r="L16" s="9">
        <f>IF(Data!P17-4&gt;0,Data!P17-4,0)+L15</f>
        <v>0</v>
      </c>
      <c r="M16" s="9">
        <f>IF(Data!Q17-4&gt;0,Data!Q17-4,0)+M15</f>
        <v>0</v>
      </c>
      <c r="N16" s="9">
        <f>IF(Data!R17-4&gt;0,Data!R17-4,0)+N15</f>
        <v>0</v>
      </c>
      <c r="O16" s="9">
        <f>IF(Data!S17-4&gt;0,Data!S17-4,0)+O15</f>
        <v>0</v>
      </c>
      <c r="P16" s="9">
        <f>IF(Data!T17-4&gt;0,Data!T17-4,0)+P15</f>
        <v>0</v>
      </c>
      <c r="Q16" s="9">
        <f>IF(Data!U17-4&gt;0,Data!U17-4,0)+Q15</f>
        <v>0</v>
      </c>
      <c r="R16" s="9">
        <f>IF(Data!V17-4&gt;0,Data!V17-4,0)+R15</f>
        <v>0</v>
      </c>
      <c r="S16" s="9"/>
      <c r="T16" s="9">
        <f>IF(Data!P17&gt;0,Data!P17,0)+T15</f>
        <v>0</v>
      </c>
      <c r="U16" s="9">
        <f>IF(Data!Q17&gt;0,Data!Q17,0)+U15</f>
        <v>0</v>
      </c>
      <c r="V16" s="9">
        <f>IF(Data!R17&gt;0,Data!R17,0)+V15</f>
        <v>0</v>
      </c>
      <c r="W16" s="9">
        <f>IF(Data!S17&gt;0,Data!S17,0)+W15</f>
        <v>0</v>
      </c>
      <c r="X16" s="9">
        <f>IF(Data!T17&gt;0,Data!T17,0)+X15</f>
        <v>0</v>
      </c>
      <c r="Y16" s="9">
        <f>IF(Data!U17&gt;0,Data!U17,0)+Y15</f>
        <v>0</v>
      </c>
      <c r="Z16" s="9">
        <f>IF(Data!V17&gt;0,Data!V17,0)+Z15</f>
        <v>0</v>
      </c>
      <c r="AA16" s="9"/>
    </row>
    <row r="17" spans="1:27" x14ac:dyDescent="0.25">
      <c r="J17" s="8">
        <v>46037</v>
      </c>
      <c r="K17" s="9">
        <v>143</v>
      </c>
      <c r="L17" s="9">
        <f>IF(Data!P18-4&gt;0,Data!P18-4,0)+L16</f>
        <v>0</v>
      </c>
      <c r="M17" s="9">
        <f>IF(Data!Q18-4&gt;0,Data!Q18-4,0)+M16</f>
        <v>0</v>
      </c>
      <c r="N17" s="9">
        <f>IF(Data!R18-4&gt;0,Data!R18-4,0)+N16</f>
        <v>0</v>
      </c>
      <c r="O17" s="9">
        <f>IF(Data!S18-4&gt;0,Data!S18-4,0)+O16</f>
        <v>0</v>
      </c>
      <c r="P17" s="9">
        <f>IF(Data!T18-4&gt;0,Data!T18-4,0)+P16</f>
        <v>0</v>
      </c>
      <c r="Q17" s="9">
        <f>IF(Data!U18-4&gt;0,Data!U18-4,0)+Q16</f>
        <v>0</v>
      </c>
      <c r="R17" s="9">
        <f>IF(Data!V18-4&gt;0,Data!V18-4,0)+R16</f>
        <v>0</v>
      </c>
      <c r="S17" s="9"/>
      <c r="T17" s="9">
        <f>IF(Data!P18&gt;0,Data!P18,0)+T16</f>
        <v>0</v>
      </c>
      <c r="U17" s="9">
        <f>IF(Data!Q18&gt;0,Data!Q18,0)+U16</f>
        <v>0</v>
      </c>
      <c r="V17" s="9">
        <f>IF(Data!R18&gt;0,Data!R18,0)+V16</f>
        <v>0</v>
      </c>
      <c r="W17" s="9">
        <f>IF(Data!S18&gt;0,Data!S18,0)+W16</f>
        <v>0</v>
      </c>
      <c r="X17" s="9">
        <f>IF(Data!T18&gt;0,Data!T18,0)+X16</f>
        <v>0</v>
      </c>
      <c r="Y17" s="9">
        <f>IF(Data!U18&gt;0,Data!U18,0)+Y16</f>
        <v>0</v>
      </c>
      <c r="Z17" s="9">
        <f>IF(Data!V18&gt;0,Data!V18,0)+Z16</f>
        <v>0</v>
      </c>
      <c r="AA17" s="9"/>
    </row>
    <row r="18" spans="1:27" x14ac:dyDescent="0.25">
      <c r="J18" s="8">
        <v>46038</v>
      </c>
      <c r="K18" s="9">
        <v>143</v>
      </c>
      <c r="L18" s="9">
        <f>IF(Data!P19-4&gt;0,Data!P19-4,0)+L17</f>
        <v>0</v>
      </c>
      <c r="M18" s="9">
        <f>IF(Data!Q19-4&gt;0,Data!Q19-4,0)+M17</f>
        <v>0</v>
      </c>
      <c r="N18" s="9">
        <f>IF(Data!R19-4&gt;0,Data!R19-4,0)+N17</f>
        <v>0</v>
      </c>
      <c r="O18" s="9">
        <f>IF(Data!S19-4&gt;0,Data!S19-4,0)+O17</f>
        <v>0</v>
      </c>
      <c r="P18" s="9">
        <f>IF(Data!T19-4&gt;0,Data!T19-4,0)+P17</f>
        <v>0</v>
      </c>
      <c r="Q18" s="9">
        <f>IF(Data!U19-4&gt;0,Data!U19-4,0)+Q17</f>
        <v>0</v>
      </c>
      <c r="R18" s="9">
        <f>IF(Data!V19-4&gt;0,Data!V19-4,0)+R17</f>
        <v>0</v>
      </c>
      <c r="S18" s="9"/>
      <c r="T18" s="9">
        <f>IF(Data!P19&gt;0,Data!P19,0)+T17</f>
        <v>0</v>
      </c>
      <c r="U18" s="9">
        <f>IF(Data!Q19&gt;0,Data!Q19,0)+U17</f>
        <v>0</v>
      </c>
      <c r="V18" s="9">
        <f>IF(Data!R19&gt;0,Data!R19,0)+V17</f>
        <v>0</v>
      </c>
      <c r="W18" s="9">
        <f>IF(Data!S19&gt;0,Data!S19,0)+W17</f>
        <v>0</v>
      </c>
      <c r="X18" s="9">
        <f>IF(Data!T19&gt;0,Data!T19,0)+X17</f>
        <v>0</v>
      </c>
      <c r="Y18" s="9">
        <f>IF(Data!U19&gt;0,Data!U19,0)+Y17</f>
        <v>0</v>
      </c>
      <c r="Z18" s="9">
        <f>IF(Data!V19&gt;0,Data!V19,0)+Z17</f>
        <v>0</v>
      </c>
      <c r="AA18" s="9"/>
    </row>
    <row r="19" spans="1:27" x14ac:dyDescent="0.25">
      <c r="J19" s="8">
        <v>46039</v>
      </c>
      <c r="K19" s="9">
        <v>143</v>
      </c>
      <c r="L19" s="9">
        <f>IF(Data!P20-4&gt;0,Data!P20-4,0)+L18</f>
        <v>0</v>
      </c>
      <c r="M19" s="9">
        <f>IF(Data!Q20-4&gt;0,Data!Q20-4,0)+M18</f>
        <v>0</v>
      </c>
      <c r="N19" s="9">
        <f>IF(Data!R20-4&gt;0,Data!R20-4,0)+N18</f>
        <v>0</v>
      </c>
      <c r="O19" s="9">
        <f>IF(Data!S20-4&gt;0,Data!S20-4,0)+O18</f>
        <v>0</v>
      </c>
      <c r="P19" s="9">
        <f>IF(Data!T20-4&gt;0,Data!T20-4,0)+P18</f>
        <v>0</v>
      </c>
      <c r="Q19" s="9">
        <f>IF(Data!U20-4&gt;0,Data!U20-4,0)+Q18</f>
        <v>0</v>
      </c>
      <c r="R19" s="9">
        <f>IF(Data!V20-4&gt;0,Data!V20-4,0)+R18</f>
        <v>0</v>
      </c>
      <c r="S19" s="9"/>
      <c r="T19" s="9">
        <f>IF(Data!P20&gt;0,Data!P20,0)+T18</f>
        <v>0</v>
      </c>
      <c r="U19" s="9">
        <f>IF(Data!Q20&gt;0,Data!Q20,0)+U18</f>
        <v>0</v>
      </c>
      <c r="V19" s="9">
        <f>IF(Data!R20&gt;0,Data!R20,0)+V18</f>
        <v>0</v>
      </c>
      <c r="W19" s="9">
        <f>IF(Data!S20&gt;0,Data!S20,0)+W18</f>
        <v>0</v>
      </c>
      <c r="X19" s="9">
        <f>IF(Data!T20&gt;0,Data!T20,0)+X18</f>
        <v>0</v>
      </c>
      <c r="Y19" s="9">
        <f>IF(Data!U20&gt;0,Data!U20,0)+Y18</f>
        <v>0</v>
      </c>
      <c r="Z19" s="9">
        <f>IF(Data!V20&gt;0,Data!V20,0)+Z18</f>
        <v>0</v>
      </c>
      <c r="AA19" s="9"/>
    </row>
    <row r="20" spans="1:27" x14ac:dyDescent="0.25">
      <c r="J20" s="8">
        <v>46040</v>
      </c>
      <c r="K20" s="9">
        <v>143</v>
      </c>
      <c r="L20" s="9">
        <f>IF(Data!P21-4&gt;0,Data!P21-4,0)+L19</f>
        <v>0</v>
      </c>
      <c r="M20" s="9">
        <f>IF(Data!Q21-4&gt;0,Data!Q21-4,0)+M19</f>
        <v>0</v>
      </c>
      <c r="N20" s="9">
        <f>IF(Data!R21-4&gt;0,Data!R21-4,0)+N19</f>
        <v>0</v>
      </c>
      <c r="O20" s="9">
        <f>IF(Data!S21-4&gt;0,Data!S21-4,0)+O19</f>
        <v>0</v>
      </c>
      <c r="P20" s="9">
        <f>IF(Data!T21-4&gt;0,Data!T21-4,0)+P19</f>
        <v>0</v>
      </c>
      <c r="Q20" s="9">
        <f>IF(Data!U21-4&gt;0,Data!U21-4,0)+Q19</f>
        <v>0</v>
      </c>
      <c r="R20" s="9">
        <f>IF(Data!V21-4&gt;0,Data!V21-4,0)+R19</f>
        <v>0</v>
      </c>
      <c r="S20" s="9"/>
      <c r="T20" s="9">
        <f>IF(Data!P21&gt;0,Data!P21,0)+T19</f>
        <v>0</v>
      </c>
      <c r="U20" s="9">
        <f>IF(Data!Q21&gt;0,Data!Q21,0)+U19</f>
        <v>0</v>
      </c>
      <c r="V20" s="9">
        <f>IF(Data!R21&gt;0,Data!R21,0)+V19</f>
        <v>0</v>
      </c>
      <c r="W20" s="9">
        <f>IF(Data!S21&gt;0,Data!S21,0)+W19</f>
        <v>0</v>
      </c>
      <c r="X20" s="9">
        <f>IF(Data!T21&gt;0,Data!T21,0)+X19</f>
        <v>0</v>
      </c>
      <c r="Y20" s="9">
        <f>IF(Data!U21&gt;0,Data!U21,0)+Y19</f>
        <v>0</v>
      </c>
      <c r="Z20" s="9">
        <f>IF(Data!V21&gt;0,Data!V21,0)+Z19</f>
        <v>0</v>
      </c>
      <c r="AA20" s="9"/>
    </row>
    <row r="21" spans="1:27" x14ac:dyDescent="0.25">
      <c r="J21" s="8">
        <v>46041</v>
      </c>
      <c r="K21" s="9">
        <v>143</v>
      </c>
      <c r="L21" s="9">
        <f>IF(Data!P22-4&gt;0,Data!P22-4,0)+L20</f>
        <v>0</v>
      </c>
      <c r="M21" s="9">
        <f>IF(Data!Q22-4&gt;0,Data!Q22-4,0)+M20</f>
        <v>0</v>
      </c>
      <c r="N21" s="9">
        <f>IF(Data!R22-4&gt;0,Data!R22-4,0)+N20</f>
        <v>0</v>
      </c>
      <c r="O21" s="9">
        <f>IF(Data!S22-4&gt;0,Data!S22-4,0)+O20</f>
        <v>0</v>
      </c>
      <c r="P21" s="9">
        <f>IF(Data!T22-4&gt;0,Data!T22-4,0)+P20</f>
        <v>0</v>
      </c>
      <c r="Q21" s="9">
        <f>IF(Data!U22-4&gt;0,Data!U22-4,0)+Q20</f>
        <v>0</v>
      </c>
      <c r="R21" s="9">
        <f>IF(Data!V22-4&gt;0,Data!V22-4,0)+R20</f>
        <v>0</v>
      </c>
      <c r="S21" s="9"/>
      <c r="T21" s="9">
        <f>IF(Data!P22&gt;0,Data!P22,0)+T20</f>
        <v>0</v>
      </c>
      <c r="U21" s="9">
        <f>IF(Data!Q22&gt;0,Data!Q22,0)+U20</f>
        <v>0</v>
      </c>
      <c r="V21" s="9">
        <f>IF(Data!R22&gt;0,Data!R22,0)+V20</f>
        <v>0</v>
      </c>
      <c r="W21" s="9">
        <f>IF(Data!S22&gt;0,Data!S22,0)+W20</f>
        <v>0</v>
      </c>
      <c r="X21" s="9">
        <f>IF(Data!T22&gt;0,Data!T22,0)+X20</f>
        <v>0</v>
      </c>
      <c r="Y21" s="9">
        <f>IF(Data!U22&gt;0,Data!U22,0)+Y20</f>
        <v>0</v>
      </c>
      <c r="Z21" s="9">
        <f>IF(Data!V22&gt;0,Data!V22,0)+Z20</f>
        <v>0</v>
      </c>
      <c r="AA21" s="9"/>
    </row>
    <row r="22" spans="1:27" x14ac:dyDescent="0.25">
      <c r="J22" s="8">
        <v>46042</v>
      </c>
      <c r="K22" s="9">
        <v>143</v>
      </c>
      <c r="L22" s="9">
        <f>IF(Data!P23-4&gt;0,Data!P23-4,0)+L21</f>
        <v>0</v>
      </c>
      <c r="M22" s="9">
        <f>IF(Data!Q23-4&gt;0,Data!Q23-4,0)+M21</f>
        <v>0</v>
      </c>
      <c r="N22" s="9">
        <f>IF(Data!R23-4&gt;0,Data!R23-4,0)+N21</f>
        <v>0</v>
      </c>
      <c r="O22" s="9">
        <f>IF(Data!S23-4&gt;0,Data!S23-4,0)+O21</f>
        <v>0</v>
      </c>
      <c r="P22" s="9">
        <f>IF(Data!T23-4&gt;0,Data!T23-4,0)+P21</f>
        <v>0</v>
      </c>
      <c r="Q22" s="9">
        <f>IF(Data!U23-4&gt;0,Data!U23-4,0)+Q21</f>
        <v>0</v>
      </c>
      <c r="R22" s="9">
        <f>IF(Data!V23-4&gt;0,Data!V23-4,0)+R21</f>
        <v>0</v>
      </c>
      <c r="S22" s="9"/>
      <c r="T22" s="9">
        <f>IF(Data!P23&gt;0,Data!P23,0)+T21</f>
        <v>0</v>
      </c>
      <c r="U22" s="9">
        <f>IF(Data!Q23&gt;0,Data!Q23,0)+U21</f>
        <v>0</v>
      </c>
      <c r="V22" s="9">
        <f>IF(Data!R23&gt;0,Data!R23,0)+V21</f>
        <v>0</v>
      </c>
      <c r="W22" s="9">
        <f>IF(Data!S23&gt;0,Data!S23,0)+W21</f>
        <v>0</v>
      </c>
      <c r="X22" s="9">
        <f>IF(Data!T23&gt;0,Data!T23,0)+X21</f>
        <v>0</v>
      </c>
      <c r="Y22" s="9">
        <f>IF(Data!U23&gt;0,Data!U23,0)+Y21</f>
        <v>0</v>
      </c>
      <c r="Z22" s="9">
        <f>IF(Data!V23&gt;0,Data!V23,0)+Z21</f>
        <v>0</v>
      </c>
      <c r="AA22" s="9"/>
    </row>
    <row r="23" spans="1:27" x14ac:dyDescent="0.25">
      <c r="J23" s="8">
        <v>46043</v>
      </c>
      <c r="K23" s="9">
        <v>143</v>
      </c>
      <c r="L23" s="9">
        <f>IF(Data!P24-4&gt;0,Data!P24-4,0)+L22</f>
        <v>0</v>
      </c>
      <c r="M23" s="9">
        <f>IF(Data!Q24-4&gt;0,Data!Q24-4,0)+M22</f>
        <v>0</v>
      </c>
      <c r="N23" s="9">
        <f>IF(Data!R24-4&gt;0,Data!R24-4,0)+N22</f>
        <v>0</v>
      </c>
      <c r="O23" s="9">
        <f>IF(Data!S24-4&gt;0,Data!S24-4,0)+O22</f>
        <v>0</v>
      </c>
      <c r="P23" s="9">
        <f>IF(Data!T24-4&gt;0,Data!T24-4,0)+P22</f>
        <v>0</v>
      </c>
      <c r="Q23" s="9">
        <f>IF(Data!U24-4&gt;0,Data!U24-4,0)+Q22</f>
        <v>0</v>
      </c>
      <c r="R23" s="9">
        <f>IF(Data!V24-4&gt;0,Data!V24-4,0)+R22</f>
        <v>0</v>
      </c>
      <c r="S23" s="9"/>
      <c r="T23" s="9">
        <f>IF(Data!P24&gt;0,Data!P24,0)+T22</f>
        <v>0</v>
      </c>
      <c r="U23" s="9">
        <f>IF(Data!Q24&gt;0,Data!Q24,0)+U22</f>
        <v>0</v>
      </c>
      <c r="V23" s="9">
        <f>IF(Data!R24&gt;0,Data!R24,0)+V22</f>
        <v>0</v>
      </c>
      <c r="W23" s="9">
        <f>IF(Data!S24&gt;0,Data!S24,0)+W22</f>
        <v>0</v>
      </c>
      <c r="X23" s="9">
        <f>IF(Data!T24&gt;0,Data!T24,0)+X22</f>
        <v>0</v>
      </c>
      <c r="Y23" s="9">
        <f>IF(Data!U24&gt;0,Data!U24,0)+Y22</f>
        <v>0</v>
      </c>
      <c r="Z23" s="9">
        <f>IF(Data!V24&gt;0,Data!V24,0)+Z22</f>
        <v>0</v>
      </c>
      <c r="AA23" s="9"/>
    </row>
    <row r="24" spans="1:27" ht="39.950000000000003" customHeight="1" x14ac:dyDescent="0.25">
      <c r="A24" s="13" t="s">
        <v>4</v>
      </c>
      <c r="B24" s="13" t="e">
        <f ca="1">L2</f>
        <v>#NAME?</v>
      </c>
      <c r="C24" s="13" t="e">
        <f t="shared" ref="C24:H24" ca="1" si="1">M2</f>
        <v>#NAME?</v>
      </c>
      <c r="D24" s="13" t="e">
        <f t="shared" ca="1" si="1"/>
        <v>#NAME?</v>
      </c>
      <c r="E24" s="13" t="e">
        <f t="shared" ca="1" si="1"/>
        <v>#NAME?</v>
      </c>
      <c r="F24" s="13" t="e">
        <f t="shared" ca="1" si="1"/>
        <v>#NAME?</v>
      </c>
      <c r="G24" s="13" t="e">
        <f t="shared" ca="1" si="1"/>
        <v>#NAME?</v>
      </c>
      <c r="H24" s="13" t="e">
        <f t="shared" ca="1" si="1"/>
        <v>#NAME?</v>
      </c>
      <c r="J24" s="8">
        <v>46044</v>
      </c>
      <c r="K24" s="9">
        <v>143</v>
      </c>
      <c r="L24" s="9">
        <f>IF(Data!P25-4&gt;0,Data!P25-4,0)+L23</f>
        <v>0</v>
      </c>
      <c r="M24" s="9">
        <f>IF(Data!Q25-4&gt;0,Data!Q25-4,0)+M23</f>
        <v>0</v>
      </c>
      <c r="N24" s="9">
        <f>IF(Data!R25-4&gt;0,Data!R25-4,0)+N23</f>
        <v>0</v>
      </c>
      <c r="O24" s="9">
        <f>IF(Data!S25-4&gt;0,Data!S25-4,0)+O23</f>
        <v>0</v>
      </c>
      <c r="P24" s="9">
        <f>IF(Data!T25-4&gt;0,Data!T25-4,0)+P23</f>
        <v>0</v>
      </c>
      <c r="Q24" s="9">
        <f>IF(Data!U25-4&gt;0,Data!U25-4,0)+Q23</f>
        <v>0</v>
      </c>
      <c r="R24" s="9">
        <f>IF(Data!V25-4&gt;0,Data!V25-4,0)+R23</f>
        <v>0</v>
      </c>
      <c r="S24" s="9"/>
      <c r="T24" s="9">
        <f>IF(Data!P25&gt;0,Data!P25,0)+T23</f>
        <v>0</v>
      </c>
      <c r="U24" s="9">
        <f>IF(Data!Q25&gt;0,Data!Q25,0)+U23</f>
        <v>0</v>
      </c>
      <c r="V24" s="9">
        <f>IF(Data!R25&gt;0,Data!R25,0)+V23</f>
        <v>0</v>
      </c>
      <c r="W24" s="9">
        <f>IF(Data!S25&gt;0,Data!S25,0)+W23</f>
        <v>0</v>
      </c>
      <c r="X24" s="9">
        <f>IF(Data!T25&gt;0,Data!T25,0)+X23</f>
        <v>0</v>
      </c>
      <c r="Y24" s="9">
        <f>IF(Data!U25&gt;0,Data!U25,0)+Y23</f>
        <v>0</v>
      </c>
      <c r="Z24" s="9">
        <f>IF(Data!V25&gt;0,Data!V25,0)+Z23</f>
        <v>0</v>
      </c>
      <c r="AA24" s="9"/>
    </row>
    <row r="25" spans="1:27" ht="45" x14ac:dyDescent="0.25">
      <c r="A25" s="13" t="s">
        <v>5</v>
      </c>
      <c r="B25" s="13">
        <f>L92</f>
        <v>0</v>
      </c>
      <c r="C25" s="13">
        <f t="shared" ref="C25:H25" si="2">M92</f>
        <v>0</v>
      </c>
      <c r="D25" s="13">
        <f t="shared" si="2"/>
        <v>0</v>
      </c>
      <c r="E25" s="13">
        <f t="shared" si="2"/>
        <v>0</v>
      </c>
      <c r="F25" s="13">
        <f t="shared" si="2"/>
        <v>0</v>
      </c>
      <c r="G25" s="13">
        <f t="shared" si="2"/>
        <v>0</v>
      </c>
      <c r="H25" s="13">
        <f t="shared" si="2"/>
        <v>0</v>
      </c>
      <c r="J25" s="8">
        <v>46045</v>
      </c>
      <c r="K25" s="9">
        <v>143</v>
      </c>
      <c r="L25" s="9">
        <f>IF(Data!P26-4&gt;0,Data!P26-4,0)+L24</f>
        <v>0</v>
      </c>
      <c r="M25" s="9">
        <f>IF(Data!Q26-4&gt;0,Data!Q26-4,0)+M24</f>
        <v>0</v>
      </c>
      <c r="N25" s="9">
        <f>IF(Data!R26-4&gt;0,Data!R26-4,0)+N24</f>
        <v>0</v>
      </c>
      <c r="O25" s="9">
        <f>IF(Data!S26-4&gt;0,Data!S26-4,0)+O24</f>
        <v>0</v>
      </c>
      <c r="P25" s="9">
        <f>IF(Data!T26-4&gt;0,Data!T26-4,0)+P24</f>
        <v>0</v>
      </c>
      <c r="Q25" s="9">
        <f>IF(Data!U26-4&gt;0,Data!U26-4,0)+Q24</f>
        <v>0</v>
      </c>
      <c r="R25" s="9">
        <f>IF(Data!V26-4&gt;0,Data!V26-4,0)+R24</f>
        <v>0</v>
      </c>
      <c r="S25" s="9"/>
      <c r="T25" s="9">
        <f>IF(Data!P26&gt;0,Data!P26,0)+T24</f>
        <v>0</v>
      </c>
      <c r="U25" s="9">
        <f>IF(Data!Q26&gt;0,Data!Q26,0)+U24</f>
        <v>0</v>
      </c>
      <c r="V25" s="9">
        <f>IF(Data!R26&gt;0,Data!R26,0)+V24</f>
        <v>0</v>
      </c>
      <c r="W25" s="9">
        <f>IF(Data!S26&gt;0,Data!S26,0)+W24</f>
        <v>0</v>
      </c>
      <c r="X25" s="9">
        <f>IF(Data!T26&gt;0,Data!T26,0)+X24</f>
        <v>0</v>
      </c>
      <c r="Y25" s="9">
        <f>IF(Data!U26&gt;0,Data!U26,0)+Y24</f>
        <v>0</v>
      </c>
      <c r="Z25" s="9">
        <f>IF(Data!V26&gt;0,Data!V26,0)+Z24</f>
        <v>0</v>
      </c>
      <c r="AA25" s="9"/>
    </row>
    <row r="26" spans="1:27" x14ac:dyDescent="0.25">
      <c r="J26" s="8">
        <v>46046</v>
      </c>
      <c r="K26" s="9">
        <v>143</v>
      </c>
      <c r="L26" s="9">
        <f>IF(Data!P27-4&gt;0,Data!P27-4,0)+L25</f>
        <v>0</v>
      </c>
      <c r="M26" s="9">
        <f>IF(Data!Q27-4&gt;0,Data!Q27-4,0)+M25</f>
        <v>0</v>
      </c>
      <c r="N26" s="9">
        <f>IF(Data!R27-4&gt;0,Data!R27-4,0)+N25</f>
        <v>0</v>
      </c>
      <c r="O26" s="9">
        <f>IF(Data!S27-4&gt;0,Data!S27-4,0)+O25</f>
        <v>0</v>
      </c>
      <c r="P26" s="9">
        <f>IF(Data!T27-4&gt;0,Data!T27-4,0)+P25</f>
        <v>0</v>
      </c>
      <c r="Q26" s="9">
        <f>IF(Data!U27-4&gt;0,Data!U27-4,0)+Q25</f>
        <v>0</v>
      </c>
      <c r="R26" s="9">
        <f>IF(Data!V27-4&gt;0,Data!V27-4,0)+R25</f>
        <v>0</v>
      </c>
      <c r="S26" s="9"/>
      <c r="T26" s="9">
        <f>IF(Data!P27&gt;0,Data!P27,0)+T25</f>
        <v>0</v>
      </c>
      <c r="U26" s="9">
        <f>IF(Data!Q27&gt;0,Data!Q27,0)+U25</f>
        <v>0</v>
      </c>
      <c r="V26" s="9">
        <f>IF(Data!R27&gt;0,Data!R27,0)+V25</f>
        <v>0</v>
      </c>
      <c r="W26" s="9">
        <f>IF(Data!S27&gt;0,Data!S27,0)+W25</f>
        <v>0</v>
      </c>
      <c r="X26" s="9">
        <f>IF(Data!T27&gt;0,Data!T27,0)+X25</f>
        <v>0</v>
      </c>
      <c r="Y26" s="9">
        <f>IF(Data!U27&gt;0,Data!U27,0)+Y25</f>
        <v>0</v>
      </c>
      <c r="Z26" s="9">
        <f>IF(Data!V27&gt;0,Data!V27,0)+Z25</f>
        <v>0</v>
      </c>
      <c r="AA26" s="9"/>
    </row>
    <row r="27" spans="1:27" ht="46.5" customHeight="1" x14ac:dyDescent="0.25">
      <c r="A27" s="13" t="s">
        <v>6</v>
      </c>
      <c r="B27" s="13" t="e">
        <f ca="1">T2</f>
        <v>#NAME?</v>
      </c>
      <c r="C27" s="13" t="e">
        <f t="shared" ref="C27:H27" ca="1" si="3">U2</f>
        <v>#NAME?</v>
      </c>
      <c r="D27" s="13" t="e">
        <f t="shared" ca="1" si="3"/>
        <v>#NAME?</v>
      </c>
      <c r="E27" s="13" t="e">
        <f t="shared" ca="1" si="3"/>
        <v>#NAME?</v>
      </c>
      <c r="F27" s="13" t="e">
        <f t="shared" ca="1" si="3"/>
        <v>#NAME?</v>
      </c>
      <c r="G27" s="13" t="e">
        <f t="shared" ca="1" si="3"/>
        <v>#NAME?</v>
      </c>
      <c r="H27" s="13" t="e">
        <f t="shared" ca="1" si="3"/>
        <v>#NAME?</v>
      </c>
      <c r="J27" s="8">
        <v>46047</v>
      </c>
      <c r="K27" s="9">
        <v>143</v>
      </c>
      <c r="L27" s="9">
        <f>IF(Data!P28-4&gt;0,Data!P28-4,0)+L26</f>
        <v>0</v>
      </c>
      <c r="M27" s="9">
        <f>IF(Data!Q28-4&gt;0,Data!Q28-4,0)+M26</f>
        <v>0</v>
      </c>
      <c r="N27" s="9">
        <f>IF(Data!R28-4&gt;0,Data!R28-4,0)+N26</f>
        <v>0</v>
      </c>
      <c r="O27" s="9">
        <f>IF(Data!S28-4&gt;0,Data!S28-4,0)+O26</f>
        <v>0</v>
      </c>
      <c r="P27" s="9">
        <f>IF(Data!T28-4&gt;0,Data!T28-4,0)+P26</f>
        <v>0</v>
      </c>
      <c r="Q27" s="9">
        <f>IF(Data!U28-4&gt;0,Data!U28-4,0)+Q26</f>
        <v>0</v>
      </c>
      <c r="R27" s="9">
        <f>IF(Data!V28-4&gt;0,Data!V28-4,0)+R26</f>
        <v>0</v>
      </c>
      <c r="S27" s="9"/>
      <c r="T27" s="9">
        <f>IF(Data!P28&gt;0,Data!P28,0)+T26</f>
        <v>0</v>
      </c>
      <c r="U27" s="9">
        <f>IF(Data!Q28&gt;0,Data!Q28,0)+U26</f>
        <v>0</v>
      </c>
      <c r="V27" s="9">
        <f>IF(Data!R28&gt;0,Data!R28,0)+V26</f>
        <v>0</v>
      </c>
      <c r="W27" s="9">
        <f>IF(Data!S28&gt;0,Data!S28,0)+W26</f>
        <v>0</v>
      </c>
      <c r="X27" s="9">
        <f>IF(Data!T28&gt;0,Data!T28,0)+X26</f>
        <v>0</v>
      </c>
      <c r="Y27" s="9">
        <f>IF(Data!U28&gt;0,Data!U28,0)+Y26</f>
        <v>0</v>
      </c>
      <c r="Z27" s="9">
        <f>IF(Data!V28&gt;0,Data!V28,0)+Z26</f>
        <v>0</v>
      </c>
      <c r="AA27" s="9"/>
    </row>
    <row r="28" spans="1:27" ht="45" x14ac:dyDescent="0.25">
      <c r="A28" s="13" t="s">
        <v>5</v>
      </c>
      <c r="B28" s="13">
        <f>T92</f>
        <v>0</v>
      </c>
      <c r="C28" s="13">
        <f t="shared" ref="C28:H28" si="4">U92</f>
        <v>0</v>
      </c>
      <c r="D28" s="13">
        <f t="shared" si="4"/>
        <v>0</v>
      </c>
      <c r="E28" s="13">
        <f t="shared" si="4"/>
        <v>0</v>
      </c>
      <c r="F28" s="13">
        <f t="shared" si="4"/>
        <v>0</v>
      </c>
      <c r="G28" s="13">
        <f t="shared" si="4"/>
        <v>0</v>
      </c>
      <c r="H28" s="13">
        <f t="shared" si="4"/>
        <v>0</v>
      </c>
      <c r="J28" s="8">
        <v>46048</v>
      </c>
      <c r="K28" s="9">
        <v>143</v>
      </c>
      <c r="L28" s="9">
        <f>IF(Data!P29-4&gt;0,Data!P29-4,0)+L27</f>
        <v>0</v>
      </c>
      <c r="M28" s="9">
        <f>IF(Data!Q29-4&gt;0,Data!Q29-4,0)+M27</f>
        <v>0</v>
      </c>
      <c r="N28" s="9">
        <f>IF(Data!R29-4&gt;0,Data!R29-4,0)+N27</f>
        <v>0</v>
      </c>
      <c r="O28" s="9">
        <f>IF(Data!S29-4&gt;0,Data!S29-4,0)+O27</f>
        <v>0</v>
      </c>
      <c r="P28" s="9">
        <f>IF(Data!T29-4&gt;0,Data!T29-4,0)+P27</f>
        <v>0</v>
      </c>
      <c r="Q28" s="9">
        <f>IF(Data!U29-4&gt;0,Data!U29-4,0)+Q27</f>
        <v>0</v>
      </c>
      <c r="R28" s="9">
        <f>IF(Data!V29-4&gt;0,Data!V29-4,0)+R27</f>
        <v>0</v>
      </c>
      <c r="S28" s="9"/>
      <c r="T28" s="9">
        <f>IF(Data!P29&gt;0,Data!P29,0)+T27</f>
        <v>0</v>
      </c>
      <c r="U28" s="9">
        <f>IF(Data!Q29&gt;0,Data!Q29,0)+U27</f>
        <v>0</v>
      </c>
      <c r="V28" s="9">
        <f>IF(Data!R29&gt;0,Data!R29,0)+V27</f>
        <v>0</v>
      </c>
      <c r="W28" s="9">
        <f>IF(Data!S29&gt;0,Data!S29,0)+W27</f>
        <v>0</v>
      </c>
      <c r="X28" s="9">
        <f>IF(Data!T29&gt;0,Data!T29,0)+X27</f>
        <v>0</v>
      </c>
      <c r="Y28" s="9">
        <f>IF(Data!U29&gt;0,Data!U29,0)+Y27</f>
        <v>0</v>
      </c>
      <c r="Z28" s="9">
        <f>IF(Data!V29&gt;0,Data!V29,0)+Z27</f>
        <v>0</v>
      </c>
      <c r="AA28" s="9"/>
    </row>
    <row r="29" spans="1:27" x14ac:dyDescent="0.25">
      <c r="J29" s="8">
        <v>46049</v>
      </c>
      <c r="K29" s="9">
        <v>143</v>
      </c>
      <c r="L29" s="9">
        <f>IF(Data!P30-4&gt;0,Data!P30-4,0)+L28</f>
        <v>0</v>
      </c>
      <c r="M29" s="9">
        <f>IF(Data!Q30-4&gt;0,Data!Q30-4,0)+M28</f>
        <v>0</v>
      </c>
      <c r="N29" s="9">
        <f>IF(Data!R30-4&gt;0,Data!R30-4,0)+N28</f>
        <v>0</v>
      </c>
      <c r="O29" s="9">
        <f>IF(Data!S30-4&gt;0,Data!S30-4,0)+O28</f>
        <v>0</v>
      </c>
      <c r="P29" s="9">
        <f>IF(Data!T30-4&gt;0,Data!T30-4,0)+P28</f>
        <v>0</v>
      </c>
      <c r="Q29" s="9">
        <f>IF(Data!U30-4&gt;0,Data!U30-4,0)+Q28</f>
        <v>0</v>
      </c>
      <c r="R29" s="9">
        <f>IF(Data!V30-4&gt;0,Data!V30-4,0)+R28</f>
        <v>0</v>
      </c>
      <c r="S29" s="9"/>
      <c r="T29" s="9">
        <f>IF(Data!P30&gt;0,Data!P30,0)+T28</f>
        <v>0</v>
      </c>
      <c r="U29" s="9">
        <f>IF(Data!Q30&gt;0,Data!Q30,0)+U28</f>
        <v>0</v>
      </c>
      <c r="V29" s="9">
        <f>IF(Data!R30&gt;0,Data!R30,0)+V28</f>
        <v>0</v>
      </c>
      <c r="W29" s="9">
        <f>IF(Data!S30&gt;0,Data!S30,0)+W28</f>
        <v>0</v>
      </c>
      <c r="X29" s="9">
        <f>IF(Data!T30&gt;0,Data!T30,0)+X28</f>
        <v>0</v>
      </c>
      <c r="Y29" s="9">
        <f>IF(Data!U30&gt;0,Data!U30,0)+Y28</f>
        <v>0</v>
      </c>
      <c r="Z29" s="9">
        <f>IF(Data!V30&gt;0,Data!V30,0)+Z28</f>
        <v>0</v>
      </c>
      <c r="AA29" s="9"/>
    </row>
    <row r="30" spans="1:27" x14ac:dyDescent="0.25">
      <c r="J30" s="8">
        <v>46050</v>
      </c>
      <c r="K30" s="9">
        <v>143</v>
      </c>
      <c r="L30" s="9">
        <f>IF(Data!P31-4&gt;0,Data!P31-4,0)+L29</f>
        <v>0</v>
      </c>
      <c r="M30" s="9">
        <f>IF(Data!Q31-4&gt;0,Data!Q31-4,0)+M29</f>
        <v>0</v>
      </c>
      <c r="N30" s="9">
        <f>IF(Data!R31-4&gt;0,Data!R31-4,0)+N29</f>
        <v>0</v>
      </c>
      <c r="O30" s="9">
        <f>IF(Data!S31-4&gt;0,Data!S31-4,0)+O29</f>
        <v>0</v>
      </c>
      <c r="P30" s="9">
        <f>IF(Data!T31-4&gt;0,Data!T31-4,0)+P29</f>
        <v>0</v>
      </c>
      <c r="Q30" s="9">
        <f>IF(Data!U31-4&gt;0,Data!U31-4,0)+Q29</f>
        <v>0</v>
      </c>
      <c r="R30" s="9">
        <f>IF(Data!V31-4&gt;0,Data!V31-4,0)+R29</f>
        <v>0</v>
      </c>
      <c r="S30" s="9"/>
      <c r="T30" s="9">
        <f>IF(Data!P31&gt;0,Data!P31,0)+T29</f>
        <v>0</v>
      </c>
      <c r="U30" s="9">
        <f>IF(Data!Q31&gt;0,Data!Q31,0)+U29</f>
        <v>0</v>
      </c>
      <c r="V30" s="9">
        <f>IF(Data!R31&gt;0,Data!R31,0)+V29</f>
        <v>0</v>
      </c>
      <c r="W30" s="9">
        <f>IF(Data!S31&gt;0,Data!S31,0)+W29</f>
        <v>0</v>
      </c>
      <c r="X30" s="9">
        <f>IF(Data!T31&gt;0,Data!T31,0)+X29</f>
        <v>0</v>
      </c>
      <c r="Y30" s="9">
        <f>IF(Data!U31&gt;0,Data!U31,0)+Y29</f>
        <v>0</v>
      </c>
      <c r="Z30" s="9">
        <f>IF(Data!V31&gt;0,Data!V31,0)+Z29</f>
        <v>0</v>
      </c>
      <c r="AA30" s="9"/>
    </row>
    <row r="31" spans="1:27" x14ac:dyDescent="0.25">
      <c r="J31" s="8">
        <v>46051</v>
      </c>
      <c r="K31" s="9">
        <v>143</v>
      </c>
      <c r="L31" s="9">
        <f>IF(Data!P32-4&gt;0,Data!P32-4,0)+L30</f>
        <v>0</v>
      </c>
      <c r="M31" s="9">
        <f>IF(Data!Q32-4&gt;0,Data!Q32-4,0)+M30</f>
        <v>0</v>
      </c>
      <c r="N31" s="9">
        <f>IF(Data!R32-4&gt;0,Data!R32-4,0)+N30</f>
        <v>0</v>
      </c>
      <c r="O31" s="9">
        <f>IF(Data!S32-4&gt;0,Data!S32-4,0)+O30</f>
        <v>0</v>
      </c>
      <c r="P31" s="9">
        <f>IF(Data!T32-4&gt;0,Data!T32-4,0)+P30</f>
        <v>0</v>
      </c>
      <c r="Q31" s="9">
        <f>IF(Data!U32-4&gt;0,Data!U32-4,0)+Q30</f>
        <v>0</v>
      </c>
      <c r="R31" s="9">
        <f>IF(Data!V32-4&gt;0,Data!V32-4,0)+R30</f>
        <v>0</v>
      </c>
      <c r="S31" s="9"/>
      <c r="T31" s="9">
        <f>IF(Data!P32&gt;0,Data!P32,0)+T30</f>
        <v>0</v>
      </c>
      <c r="U31" s="9">
        <f>IF(Data!Q32&gt;0,Data!Q32,0)+U30</f>
        <v>0</v>
      </c>
      <c r="V31" s="9">
        <f>IF(Data!R32&gt;0,Data!R32,0)+V30</f>
        <v>0</v>
      </c>
      <c r="W31" s="9">
        <f>IF(Data!S32&gt;0,Data!S32,0)+W30</f>
        <v>0</v>
      </c>
      <c r="X31" s="9">
        <f>IF(Data!T32&gt;0,Data!T32,0)+X30</f>
        <v>0</v>
      </c>
      <c r="Y31" s="9">
        <f>IF(Data!U32&gt;0,Data!U32,0)+Y30</f>
        <v>0</v>
      </c>
      <c r="Z31" s="9">
        <f>IF(Data!V32&gt;0,Data!V32,0)+Z30</f>
        <v>0</v>
      </c>
      <c r="AA31" s="9"/>
    </row>
    <row r="32" spans="1:27" x14ac:dyDescent="0.25">
      <c r="J32" s="8">
        <v>46052</v>
      </c>
      <c r="K32" s="9">
        <v>143</v>
      </c>
      <c r="L32" s="9">
        <f>IF(Data!P33-4&gt;0,Data!P33-4,0)+L31</f>
        <v>0</v>
      </c>
      <c r="M32" s="9">
        <f>IF(Data!Q33-4&gt;0,Data!Q33-4,0)+M31</f>
        <v>0</v>
      </c>
      <c r="N32" s="9">
        <f>IF(Data!R33-4&gt;0,Data!R33-4,0)+N31</f>
        <v>0</v>
      </c>
      <c r="O32" s="9">
        <f>IF(Data!S33-4&gt;0,Data!S33-4,0)+O31</f>
        <v>0</v>
      </c>
      <c r="P32" s="9">
        <f>IF(Data!T33-4&gt;0,Data!T33-4,0)+P31</f>
        <v>0</v>
      </c>
      <c r="Q32" s="9">
        <f>IF(Data!U33-4&gt;0,Data!U33-4,0)+Q31</f>
        <v>0</v>
      </c>
      <c r="R32" s="9">
        <f>IF(Data!V33-4&gt;0,Data!V33-4,0)+R31</f>
        <v>0</v>
      </c>
      <c r="S32" s="9"/>
      <c r="T32" s="9">
        <f>IF(Data!P33&gt;0,Data!P33,0)+T31</f>
        <v>0</v>
      </c>
      <c r="U32" s="9">
        <f>IF(Data!Q33&gt;0,Data!Q33,0)+U31</f>
        <v>0</v>
      </c>
      <c r="V32" s="9">
        <f>IF(Data!R33&gt;0,Data!R33,0)+V31</f>
        <v>0</v>
      </c>
      <c r="W32" s="9">
        <f>IF(Data!S33&gt;0,Data!S33,0)+W31</f>
        <v>0</v>
      </c>
      <c r="X32" s="9">
        <f>IF(Data!T33&gt;0,Data!T33,0)+X31</f>
        <v>0</v>
      </c>
      <c r="Y32" s="9">
        <f>IF(Data!U33&gt;0,Data!U33,0)+Y31</f>
        <v>0</v>
      </c>
      <c r="Z32" s="9">
        <f>IF(Data!V33&gt;0,Data!V33,0)+Z31</f>
        <v>0</v>
      </c>
      <c r="AA32" s="9"/>
    </row>
    <row r="33" spans="10:27" x14ac:dyDescent="0.25">
      <c r="J33" s="8">
        <v>46053</v>
      </c>
      <c r="K33" s="9">
        <v>143</v>
      </c>
      <c r="L33" s="9">
        <f>IF(Data!P34-4&gt;0,Data!P34-4,0)+L32</f>
        <v>0</v>
      </c>
      <c r="M33" s="9">
        <f>IF(Data!Q34-4&gt;0,Data!Q34-4,0)+M32</f>
        <v>0</v>
      </c>
      <c r="N33" s="9">
        <f>IF(Data!R34-4&gt;0,Data!R34-4,0)+N32</f>
        <v>0</v>
      </c>
      <c r="O33" s="9">
        <f>IF(Data!S34-4&gt;0,Data!S34-4,0)+O32</f>
        <v>0</v>
      </c>
      <c r="P33" s="9">
        <f>IF(Data!T34-4&gt;0,Data!T34-4,0)+P32</f>
        <v>0</v>
      </c>
      <c r="Q33" s="9">
        <f>IF(Data!U34-4&gt;0,Data!U34-4,0)+Q32</f>
        <v>0</v>
      </c>
      <c r="R33" s="9">
        <f>IF(Data!V34-4&gt;0,Data!V34-4,0)+R32</f>
        <v>0</v>
      </c>
      <c r="S33" s="9"/>
      <c r="T33" s="9">
        <f>IF(Data!P34&gt;0,Data!P34,0)+T32</f>
        <v>0</v>
      </c>
      <c r="U33" s="9">
        <f>IF(Data!Q34&gt;0,Data!Q34,0)+U32</f>
        <v>0</v>
      </c>
      <c r="V33" s="9">
        <f>IF(Data!R34&gt;0,Data!R34,0)+V32</f>
        <v>0</v>
      </c>
      <c r="W33" s="9">
        <f>IF(Data!S34&gt;0,Data!S34,0)+W32</f>
        <v>0</v>
      </c>
      <c r="X33" s="9">
        <f>IF(Data!T34&gt;0,Data!T34,0)+X32</f>
        <v>0</v>
      </c>
      <c r="Y33" s="9">
        <f>IF(Data!U34&gt;0,Data!U34,0)+Y32</f>
        <v>0</v>
      </c>
      <c r="Z33" s="9">
        <f>IF(Data!V34&gt;0,Data!V34,0)+Z32</f>
        <v>0</v>
      </c>
      <c r="AA33" s="9"/>
    </row>
    <row r="34" spans="10:27" x14ac:dyDescent="0.25">
      <c r="J34" s="8">
        <v>46054</v>
      </c>
      <c r="K34" s="9">
        <v>143</v>
      </c>
      <c r="L34" s="9">
        <f>IF(Data!P35-4&gt;0,Data!P35-4,0)+L33</f>
        <v>0</v>
      </c>
      <c r="M34" s="9">
        <f>IF(Data!Q35-4&gt;0,Data!Q35-4,0)+M33</f>
        <v>0</v>
      </c>
      <c r="N34" s="9">
        <f>IF(Data!R35-4&gt;0,Data!R35-4,0)+N33</f>
        <v>0</v>
      </c>
      <c r="O34" s="9">
        <f>IF(Data!S35-4&gt;0,Data!S35-4,0)+O33</f>
        <v>0</v>
      </c>
      <c r="P34" s="9">
        <f>IF(Data!T35-4&gt;0,Data!T35-4,0)+P33</f>
        <v>0</v>
      </c>
      <c r="Q34" s="9">
        <f>IF(Data!U35-4&gt;0,Data!U35-4,0)+Q33</f>
        <v>0</v>
      </c>
      <c r="R34" s="9">
        <f>IF(Data!V35-4&gt;0,Data!V35-4,0)+R33</f>
        <v>0</v>
      </c>
      <c r="S34" s="9"/>
      <c r="T34" s="9">
        <f>IF(Data!P35&gt;0,Data!P35,0)+T33</f>
        <v>0</v>
      </c>
      <c r="U34" s="9">
        <f>IF(Data!Q35&gt;0,Data!Q35,0)+U33</f>
        <v>0</v>
      </c>
      <c r="V34" s="9">
        <f>IF(Data!R35&gt;0,Data!R35,0)+V33</f>
        <v>0</v>
      </c>
      <c r="W34" s="9">
        <f>IF(Data!S35&gt;0,Data!S35,0)+W33</f>
        <v>0</v>
      </c>
      <c r="X34" s="9">
        <f>IF(Data!T35&gt;0,Data!T35,0)+X33</f>
        <v>0</v>
      </c>
      <c r="Y34" s="9">
        <f>IF(Data!U35&gt;0,Data!U35,0)+Y33</f>
        <v>0</v>
      </c>
      <c r="Z34" s="9">
        <f>IF(Data!V35&gt;0,Data!V35,0)+Z33</f>
        <v>0</v>
      </c>
      <c r="AA34" s="9"/>
    </row>
    <row r="35" spans="10:27" x14ac:dyDescent="0.25">
      <c r="J35" s="8">
        <v>46055</v>
      </c>
      <c r="K35" s="9">
        <v>143</v>
      </c>
      <c r="L35" s="9">
        <f>IF(Data!P36-4&gt;0,Data!P36-4,0)+L34</f>
        <v>0</v>
      </c>
      <c r="M35" s="9">
        <f>IF(Data!Q36-4&gt;0,Data!Q36-4,0)+M34</f>
        <v>0</v>
      </c>
      <c r="N35" s="9">
        <f>IF(Data!R36-4&gt;0,Data!R36-4,0)+N34</f>
        <v>0</v>
      </c>
      <c r="O35" s="9">
        <f>IF(Data!S36-4&gt;0,Data!S36-4,0)+O34</f>
        <v>0</v>
      </c>
      <c r="P35" s="9">
        <f>IF(Data!T36-4&gt;0,Data!T36-4,0)+P34</f>
        <v>0</v>
      </c>
      <c r="Q35" s="9">
        <f>IF(Data!U36-4&gt;0,Data!U36-4,0)+Q34</f>
        <v>0</v>
      </c>
      <c r="R35" s="9">
        <f>IF(Data!V36-4&gt;0,Data!V36-4,0)+R34</f>
        <v>0</v>
      </c>
      <c r="S35" s="9"/>
      <c r="T35" s="9">
        <f>IF(Data!P36&gt;0,Data!P36,0)+T34</f>
        <v>0</v>
      </c>
      <c r="U35" s="9">
        <f>IF(Data!Q36&gt;0,Data!Q36,0)+U34</f>
        <v>0</v>
      </c>
      <c r="V35" s="9">
        <f>IF(Data!R36&gt;0,Data!R36,0)+V34</f>
        <v>0</v>
      </c>
      <c r="W35" s="9">
        <f>IF(Data!S36&gt;0,Data!S36,0)+W34</f>
        <v>0</v>
      </c>
      <c r="X35" s="9">
        <f>IF(Data!T36&gt;0,Data!T36,0)+X34</f>
        <v>0</v>
      </c>
      <c r="Y35" s="9">
        <f>IF(Data!U36&gt;0,Data!U36,0)+Y34</f>
        <v>0</v>
      </c>
      <c r="Z35" s="9">
        <f>IF(Data!V36&gt;0,Data!V36,0)+Z34</f>
        <v>0</v>
      </c>
      <c r="AA35" s="9"/>
    </row>
    <row r="36" spans="10:27" x14ac:dyDescent="0.25">
      <c r="J36" s="8">
        <v>46056</v>
      </c>
      <c r="K36" s="9">
        <v>143</v>
      </c>
      <c r="L36" s="9">
        <f>IF(Data!P37-4&gt;0,Data!P37-4,0)+L35</f>
        <v>0</v>
      </c>
      <c r="M36" s="9">
        <f>IF(Data!Q37-4&gt;0,Data!Q37-4,0)+M35</f>
        <v>0</v>
      </c>
      <c r="N36" s="9">
        <f>IF(Data!R37-4&gt;0,Data!R37-4,0)+N35</f>
        <v>0</v>
      </c>
      <c r="O36" s="9">
        <f>IF(Data!S37-4&gt;0,Data!S37-4,0)+O35</f>
        <v>0</v>
      </c>
      <c r="P36" s="9">
        <f>IF(Data!T37-4&gt;0,Data!T37-4,0)+P35</f>
        <v>0</v>
      </c>
      <c r="Q36" s="9">
        <f>IF(Data!U37-4&gt;0,Data!U37-4,0)+Q35</f>
        <v>0</v>
      </c>
      <c r="R36" s="9">
        <f>IF(Data!V37-4&gt;0,Data!V37-4,0)+R35</f>
        <v>0</v>
      </c>
      <c r="S36" s="9"/>
      <c r="T36" s="9">
        <f>IF(Data!P37&gt;0,Data!P37,0)+T35</f>
        <v>0</v>
      </c>
      <c r="U36" s="9">
        <f>IF(Data!Q37&gt;0,Data!Q37,0)+U35</f>
        <v>0</v>
      </c>
      <c r="V36" s="9">
        <f>IF(Data!R37&gt;0,Data!R37,0)+V35</f>
        <v>0</v>
      </c>
      <c r="W36" s="9">
        <f>IF(Data!S37&gt;0,Data!S37,0)+W35</f>
        <v>0</v>
      </c>
      <c r="X36" s="9">
        <f>IF(Data!T37&gt;0,Data!T37,0)+X35</f>
        <v>0</v>
      </c>
      <c r="Y36" s="9">
        <f>IF(Data!U37&gt;0,Data!U37,0)+Y35</f>
        <v>0</v>
      </c>
      <c r="Z36" s="9">
        <f>IF(Data!V37&gt;0,Data!V37,0)+Z35</f>
        <v>0</v>
      </c>
      <c r="AA36" s="9"/>
    </row>
    <row r="37" spans="10:27" x14ac:dyDescent="0.25">
      <c r="J37" s="8">
        <v>46057</v>
      </c>
      <c r="K37" s="9">
        <v>143</v>
      </c>
      <c r="L37" s="9">
        <f>IF(Data!P38-4&gt;0,Data!P38-4,0)+L36</f>
        <v>0</v>
      </c>
      <c r="M37" s="9">
        <f>IF(Data!Q38-4&gt;0,Data!Q38-4,0)+M36</f>
        <v>0</v>
      </c>
      <c r="N37" s="9">
        <f>IF(Data!R38-4&gt;0,Data!R38-4,0)+N36</f>
        <v>0</v>
      </c>
      <c r="O37" s="9">
        <f>IF(Data!S38-4&gt;0,Data!S38-4,0)+O36</f>
        <v>0</v>
      </c>
      <c r="P37" s="9">
        <f>IF(Data!T38-4&gt;0,Data!T38-4,0)+P36</f>
        <v>0</v>
      </c>
      <c r="Q37" s="9">
        <f>IF(Data!U38-4&gt;0,Data!U38-4,0)+Q36</f>
        <v>0</v>
      </c>
      <c r="R37" s="9">
        <f>IF(Data!V38-4&gt;0,Data!V38-4,0)+R36</f>
        <v>0</v>
      </c>
      <c r="S37" s="9"/>
      <c r="T37" s="9">
        <f>IF(Data!P38&gt;0,Data!P38,0)+T36</f>
        <v>0</v>
      </c>
      <c r="U37" s="9">
        <f>IF(Data!Q38&gt;0,Data!Q38,0)+U36</f>
        <v>0</v>
      </c>
      <c r="V37" s="9">
        <f>IF(Data!R38&gt;0,Data!R38,0)+V36</f>
        <v>0</v>
      </c>
      <c r="W37" s="9">
        <f>IF(Data!S38&gt;0,Data!S38,0)+W36</f>
        <v>0</v>
      </c>
      <c r="X37" s="9">
        <f>IF(Data!T38&gt;0,Data!T38,0)+X36</f>
        <v>0</v>
      </c>
      <c r="Y37" s="9">
        <f>IF(Data!U38&gt;0,Data!U38,0)+Y36</f>
        <v>0</v>
      </c>
      <c r="Z37" s="9">
        <f>IF(Data!V38&gt;0,Data!V38,0)+Z36</f>
        <v>0</v>
      </c>
      <c r="AA37" s="9"/>
    </row>
    <row r="38" spans="10:27" x14ac:dyDescent="0.25">
      <c r="J38" s="8">
        <v>46058</v>
      </c>
      <c r="K38" s="9">
        <v>143</v>
      </c>
      <c r="L38" s="9">
        <f>IF(Data!P39-4&gt;0,Data!P39-4,0)+L37</f>
        <v>0</v>
      </c>
      <c r="M38" s="9">
        <f>IF(Data!Q39-4&gt;0,Data!Q39-4,0)+M37</f>
        <v>0</v>
      </c>
      <c r="N38" s="9">
        <f>IF(Data!R39-4&gt;0,Data!R39-4,0)+N37</f>
        <v>0</v>
      </c>
      <c r="O38" s="9">
        <f>IF(Data!S39-4&gt;0,Data!S39-4,0)+O37</f>
        <v>0</v>
      </c>
      <c r="P38" s="9">
        <f>IF(Data!T39-4&gt;0,Data!T39-4,0)+P37</f>
        <v>0</v>
      </c>
      <c r="Q38" s="9">
        <f>IF(Data!U39-4&gt;0,Data!U39-4,0)+Q37</f>
        <v>0</v>
      </c>
      <c r="R38" s="9">
        <f>IF(Data!V39-4&gt;0,Data!V39-4,0)+R37</f>
        <v>0</v>
      </c>
      <c r="S38" s="9"/>
      <c r="T38" s="9">
        <f>IF(Data!P39&gt;0,Data!P39,0)+T37</f>
        <v>0</v>
      </c>
      <c r="U38" s="9">
        <f>IF(Data!Q39&gt;0,Data!Q39,0)+U37</f>
        <v>0</v>
      </c>
      <c r="V38" s="9">
        <f>IF(Data!R39&gt;0,Data!R39,0)+V37</f>
        <v>0</v>
      </c>
      <c r="W38" s="9">
        <f>IF(Data!S39&gt;0,Data!S39,0)+W37</f>
        <v>0</v>
      </c>
      <c r="X38" s="9">
        <f>IF(Data!T39&gt;0,Data!T39,0)+X37</f>
        <v>0</v>
      </c>
      <c r="Y38" s="9">
        <f>IF(Data!U39&gt;0,Data!U39,0)+Y37</f>
        <v>0</v>
      </c>
      <c r="Z38" s="9">
        <f>IF(Data!V39&gt;0,Data!V39,0)+Z37</f>
        <v>0</v>
      </c>
      <c r="AA38" s="9"/>
    </row>
    <row r="39" spans="10:27" x14ac:dyDescent="0.25">
      <c r="J39" s="8">
        <v>46059</v>
      </c>
      <c r="K39" s="9">
        <v>143</v>
      </c>
      <c r="L39" s="9">
        <f>IF(Data!P40-4&gt;0,Data!P40-4,0)+L38</f>
        <v>0</v>
      </c>
      <c r="M39" s="9">
        <f>IF(Data!Q40-4&gt;0,Data!Q40-4,0)+M38</f>
        <v>0</v>
      </c>
      <c r="N39" s="9">
        <f>IF(Data!R40-4&gt;0,Data!R40-4,0)+N38</f>
        <v>0</v>
      </c>
      <c r="O39" s="9">
        <f>IF(Data!S40-4&gt;0,Data!S40-4,0)+O38</f>
        <v>0</v>
      </c>
      <c r="P39" s="9">
        <f>IF(Data!T40-4&gt;0,Data!T40-4,0)+P38</f>
        <v>0</v>
      </c>
      <c r="Q39" s="9">
        <f>IF(Data!U40-4&gt;0,Data!U40-4,0)+Q38</f>
        <v>0</v>
      </c>
      <c r="R39" s="9">
        <f>IF(Data!V40-4&gt;0,Data!V40-4,0)+R38</f>
        <v>0</v>
      </c>
      <c r="S39" s="9"/>
      <c r="T39" s="9">
        <f>IF(Data!P40&gt;0,Data!P40,0)+T38</f>
        <v>0</v>
      </c>
      <c r="U39" s="9">
        <f>IF(Data!Q40&gt;0,Data!Q40,0)+U38</f>
        <v>0</v>
      </c>
      <c r="V39" s="9">
        <f>IF(Data!R40&gt;0,Data!R40,0)+V38</f>
        <v>0</v>
      </c>
      <c r="W39" s="9">
        <f>IF(Data!S40&gt;0,Data!S40,0)+W38</f>
        <v>0</v>
      </c>
      <c r="X39" s="9">
        <f>IF(Data!T40&gt;0,Data!T40,0)+X38</f>
        <v>0</v>
      </c>
      <c r="Y39" s="9">
        <f>IF(Data!U40&gt;0,Data!U40,0)+Y38</f>
        <v>0</v>
      </c>
      <c r="Z39" s="9">
        <f>IF(Data!V40&gt;0,Data!V40,0)+Z38</f>
        <v>0</v>
      </c>
      <c r="AA39" s="9"/>
    </row>
    <row r="40" spans="10:27" x14ac:dyDescent="0.25">
      <c r="J40" s="8">
        <v>46060</v>
      </c>
      <c r="K40" s="9">
        <v>143</v>
      </c>
      <c r="L40" s="9">
        <f>IF(Data!P41-4&gt;0,Data!P41-4,0)+L39</f>
        <v>0</v>
      </c>
      <c r="M40" s="9">
        <f>IF(Data!Q41-4&gt;0,Data!Q41-4,0)+M39</f>
        <v>0</v>
      </c>
      <c r="N40" s="9">
        <f>IF(Data!R41-4&gt;0,Data!R41-4,0)+N39</f>
        <v>0</v>
      </c>
      <c r="O40" s="9">
        <f>IF(Data!S41-4&gt;0,Data!S41-4,0)+O39</f>
        <v>0</v>
      </c>
      <c r="P40" s="9">
        <f>IF(Data!T41-4&gt;0,Data!T41-4,0)+P39</f>
        <v>0</v>
      </c>
      <c r="Q40" s="9">
        <f>IF(Data!U41-4&gt;0,Data!U41-4,0)+Q39</f>
        <v>0</v>
      </c>
      <c r="R40" s="9">
        <f>IF(Data!V41-4&gt;0,Data!V41-4,0)+R39</f>
        <v>0</v>
      </c>
      <c r="S40" s="9"/>
      <c r="T40" s="9">
        <f>IF(Data!P41&gt;0,Data!P41,0)+T39</f>
        <v>0</v>
      </c>
      <c r="U40" s="9">
        <f>IF(Data!Q41&gt;0,Data!Q41,0)+U39</f>
        <v>0</v>
      </c>
      <c r="V40" s="9">
        <f>IF(Data!R41&gt;0,Data!R41,0)+V39</f>
        <v>0</v>
      </c>
      <c r="W40" s="9">
        <f>IF(Data!S41&gt;0,Data!S41,0)+W39</f>
        <v>0</v>
      </c>
      <c r="X40" s="9">
        <f>IF(Data!T41&gt;0,Data!T41,0)+X39</f>
        <v>0</v>
      </c>
      <c r="Y40" s="9">
        <f>IF(Data!U41&gt;0,Data!U41,0)+Y39</f>
        <v>0</v>
      </c>
      <c r="Z40" s="9">
        <f>IF(Data!V41&gt;0,Data!V41,0)+Z39</f>
        <v>0</v>
      </c>
      <c r="AA40" s="9"/>
    </row>
    <row r="41" spans="10:27" x14ac:dyDescent="0.25">
      <c r="J41" s="8">
        <v>46061</v>
      </c>
      <c r="K41" s="9">
        <v>143</v>
      </c>
      <c r="L41" s="9">
        <f>IF(Data!P42-4&gt;0,Data!P42-4,0)+L40</f>
        <v>0</v>
      </c>
      <c r="M41" s="9">
        <f>IF(Data!Q42-4&gt;0,Data!Q42-4,0)+M40</f>
        <v>0</v>
      </c>
      <c r="N41" s="9">
        <f>IF(Data!R42-4&gt;0,Data!R42-4,0)+N40</f>
        <v>0</v>
      </c>
      <c r="O41" s="9">
        <f>IF(Data!S42-4&gt;0,Data!S42-4,0)+O40</f>
        <v>0</v>
      </c>
      <c r="P41" s="9">
        <f>IF(Data!T42-4&gt;0,Data!T42-4,0)+P40</f>
        <v>0</v>
      </c>
      <c r="Q41" s="9">
        <f>IF(Data!U42-4&gt;0,Data!U42-4,0)+Q40</f>
        <v>0</v>
      </c>
      <c r="R41" s="9">
        <f>IF(Data!V42-4&gt;0,Data!V42-4,0)+R40</f>
        <v>0</v>
      </c>
      <c r="S41" s="9"/>
      <c r="T41" s="9">
        <f>IF(Data!P42&gt;0,Data!P42,0)+T40</f>
        <v>0</v>
      </c>
      <c r="U41" s="9">
        <f>IF(Data!Q42&gt;0,Data!Q42,0)+U40</f>
        <v>0</v>
      </c>
      <c r="V41" s="9">
        <f>IF(Data!R42&gt;0,Data!R42,0)+V40</f>
        <v>0</v>
      </c>
      <c r="W41" s="9">
        <f>IF(Data!S42&gt;0,Data!S42,0)+W40</f>
        <v>0</v>
      </c>
      <c r="X41" s="9">
        <f>IF(Data!T42&gt;0,Data!T42,0)+X40</f>
        <v>0</v>
      </c>
      <c r="Y41" s="9">
        <f>IF(Data!U42&gt;0,Data!U42,0)+Y40</f>
        <v>0</v>
      </c>
      <c r="Z41" s="9">
        <f>IF(Data!V42&gt;0,Data!V42,0)+Z40</f>
        <v>0</v>
      </c>
      <c r="AA41" s="9"/>
    </row>
    <row r="42" spans="10:27" x14ac:dyDescent="0.25">
      <c r="J42" s="8">
        <v>46062</v>
      </c>
      <c r="K42" s="9">
        <v>143</v>
      </c>
      <c r="L42" s="9">
        <f>IF(Data!P43-4&gt;0,Data!P43-4,0)+L41</f>
        <v>0</v>
      </c>
      <c r="M42" s="9">
        <f>IF(Data!Q43-4&gt;0,Data!Q43-4,0)+M41</f>
        <v>0</v>
      </c>
      <c r="N42" s="9">
        <f>IF(Data!R43-4&gt;0,Data!R43-4,0)+N41</f>
        <v>0</v>
      </c>
      <c r="O42" s="9">
        <f>IF(Data!S43-4&gt;0,Data!S43-4,0)+O41</f>
        <v>0</v>
      </c>
      <c r="P42" s="9">
        <f>IF(Data!T43-4&gt;0,Data!T43-4,0)+P41</f>
        <v>0</v>
      </c>
      <c r="Q42" s="9">
        <f>IF(Data!U43-4&gt;0,Data!U43-4,0)+Q41</f>
        <v>0</v>
      </c>
      <c r="R42" s="9">
        <f>IF(Data!V43-4&gt;0,Data!V43-4,0)+R41</f>
        <v>0</v>
      </c>
      <c r="S42" s="9"/>
      <c r="T42" s="9">
        <f>IF(Data!P43&gt;0,Data!P43,0)+T41</f>
        <v>0</v>
      </c>
      <c r="U42" s="9">
        <f>IF(Data!Q43&gt;0,Data!Q43,0)+U41</f>
        <v>0</v>
      </c>
      <c r="V42" s="9">
        <f>IF(Data!R43&gt;0,Data!R43,0)+V41</f>
        <v>0</v>
      </c>
      <c r="W42" s="9">
        <f>IF(Data!S43&gt;0,Data!S43,0)+W41</f>
        <v>0</v>
      </c>
      <c r="X42" s="9">
        <f>IF(Data!T43&gt;0,Data!T43,0)+X41</f>
        <v>0</v>
      </c>
      <c r="Y42" s="9">
        <f>IF(Data!U43&gt;0,Data!U43,0)+Y41</f>
        <v>0</v>
      </c>
      <c r="Z42" s="9">
        <f>IF(Data!V43&gt;0,Data!V43,0)+Z41</f>
        <v>0</v>
      </c>
      <c r="AA42" s="9"/>
    </row>
    <row r="43" spans="10:27" x14ac:dyDescent="0.25">
      <c r="J43" s="8">
        <v>46063</v>
      </c>
      <c r="K43" s="9">
        <v>143</v>
      </c>
      <c r="L43" s="9">
        <f>IF(Data!P44-4&gt;0,Data!P44-4,0)+L42</f>
        <v>0</v>
      </c>
      <c r="M43" s="9">
        <f>IF(Data!Q44-4&gt;0,Data!Q44-4,0)+M42</f>
        <v>0</v>
      </c>
      <c r="N43" s="9">
        <f>IF(Data!R44-4&gt;0,Data!R44-4,0)+N42</f>
        <v>0</v>
      </c>
      <c r="O43" s="9">
        <f>IF(Data!S44-4&gt;0,Data!S44-4,0)+O42</f>
        <v>0</v>
      </c>
      <c r="P43" s="9">
        <f>IF(Data!T44-4&gt;0,Data!T44-4,0)+P42</f>
        <v>0</v>
      </c>
      <c r="Q43" s="9">
        <f>IF(Data!U44-4&gt;0,Data!U44-4,0)+Q42</f>
        <v>0</v>
      </c>
      <c r="R43" s="9">
        <f>IF(Data!V44-4&gt;0,Data!V44-4,0)+R42</f>
        <v>0</v>
      </c>
      <c r="S43" s="9"/>
      <c r="T43" s="9">
        <f>IF(Data!P44&gt;0,Data!P44,0)+T42</f>
        <v>0</v>
      </c>
      <c r="U43" s="9">
        <f>IF(Data!Q44&gt;0,Data!Q44,0)+U42</f>
        <v>0</v>
      </c>
      <c r="V43" s="9">
        <f>IF(Data!R44&gt;0,Data!R44,0)+V42</f>
        <v>0</v>
      </c>
      <c r="W43" s="9">
        <f>IF(Data!S44&gt;0,Data!S44,0)+W42</f>
        <v>0</v>
      </c>
      <c r="X43" s="9">
        <f>IF(Data!T44&gt;0,Data!T44,0)+X42</f>
        <v>0</v>
      </c>
      <c r="Y43" s="9">
        <f>IF(Data!U44&gt;0,Data!U44,0)+Y42</f>
        <v>0</v>
      </c>
      <c r="Z43" s="9">
        <f>IF(Data!V44&gt;0,Data!V44,0)+Z42</f>
        <v>0</v>
      </c>
      <c r="AA43" s="9"/>
    </row>
    <row r="44" spans="10:27" x14ac:dyDescent="0.25">
      <c r="J44" s="8">
        <v>46064</v>
      </c>
      <c r="K44" s="9">
        <v>143</v>
      </c>
      <c r="L44" s="9">
        <f>IF(Data!P45-4&gt;0,Data!P45-4,0)+L43</f>
        <v>0</v>
      </c>
      <c r="M44" s="9">
        <f>IF(Data!Q45-4&gt;0,Data!Q45-4,0)+M43</f>
        <v>0</v>
      </c>
      <c r="N44" s="9">
        <f>IF(Data!R45-4&gt;0,Data!R45-4,0)+N43</f>
        <v>0</v>
      </c>
      <c r="O44" s="9">
        <f>IF(Data!S45-4&gt;0,Data!S45-4,0)+O43</f>
        <v>0</v>
      </c>
      <c r="P44" s="9">
        <f>IF(Data!T45-4&gt;0,Data!T45-4,0)+P43</f>
        <v>0</v>
      </c>
      <c r="Q44" s="9">
        <f>IF(Data!U45-4&gt;0,Data!U45-4,0)+Q43</f>
        <v>0</v>
      </c>
      <c r="R44" s="9">
        <f>IF(Data!V45-4&gt;0,Data!V45-4,0)+R43</f>
        <v>0</v>
      </c>
      <c r="S44" s="9"/>
      <c r="T44" s="9">
        <f>IF(Data!P45&gt;0,Data!P45,0)+T43</f>
        <v>0</v>
      </c>
      <c r="U44" s="9">
        <f>IF(Data!Q45&gt;0,Data!Q45,0)+U43</f>
        <v>0</v>
      </c>
      <c r="V44" s="9">
        <f>IF(Data!R45&gt;0,Data!R45,0)+V43</f>
        <v>0</v>
      </c>
      <c r="W44" s="9">
        <f>IF(Data!S45&gt;0,Data!S45,0)+W43</f>
        <v>0</v>
      </c>
      <c r="X44" s="9">
        <f>IF(Data!T45&gt;0,Data!T45,0)+X43</f>
        <v>0</v>
      </c>
      <c r="Y44" s="9">
        <f>IF(Data!U45&gt;0,Data!U45,0)+Y43</f>
        <v>0</v>
      </c>
      <c r="Z44" s="9">
        <f>IF(Data!V45&gt;0,Data!V45,0)+Z43</f>
        <v>0</v>
      </c>
      <c r="AA44" s="9"/>
    </row>
    <row r="45" spans="10:27" x14ac:dyDescent="0.25">
      <c r="J45" s="8">
        <v>46065</v>
      </c>
      <c r="K45" s="9">
        <v>143</v>
      </c>
      <c r="L45" s="9">
        <f>IF(Data!P46-4&gt;0,Data!P46-4,0)+L44</f>
        <v>0</v>
      </c>
      <c r="M45" s="9">
        <f>IF(Data!Q46-4&gt;0,Data!Q46-4,0)+M44</f>
        <v>0</v>
      </c>
      <c r="N45" s="9">
        <f>IF(Data!R46-4&gt;0,Data!R46-4,0)+N44</f>
        <v>0</v>
      </c>
      <c r="O45" s="9">
        <f>IF(Data!S46-4&gt;0,Data!S46-4,0)+O44</f>
        <v>0</v>
      </c>
      <c r="P45" s="9">
        <f>IF(Data!T46-4&gt;0,Data!T46-4,0)+P44</f>
        <v>0</v>
      </c>
      <c r="Q45" s="9">
        <f>IF(Data!U46-4&gt;0,Data!U46-4,0)+Q44</f>
        <v>0</v>
      </c>
      <c r="R45" s="9">
        <f>IF(Data!V46-4&gt;0,Data!V46-4,0)+R44</f>
        <v>0</v>
      </c>
      <c r="S45" s="9"/>
      <c r="T45" s="9">
        <f>IF(Data!P46&gt;0,Data!P46,0)+T44</f>
        <v>0</v>
      </c>
      <c r="U45" s="9">
        <f>IF(Data!Q46&gt;0,Data!Q46,0)+U44</f>
        <v>0</v>
      </c>
      <c r="V45" s="9">
        <f>IF(Data!R46&gt;0,Data!R46,0)+V44</f>
        <v>0</v>
      </c>
      <c r="W45" s="9">
        <f>IF(Data!S46&gt;0,Data!S46,0)+W44</f>
        <v>0</v>
      </c>
      <c r="X45" s="9">
        <f>IF(Data!T46&gt;0,Data!T46,0)+X44</f>
        <v>0</v>
      </c>
      <c r="Y45" s="9">
        <f>IF(Data!U46&gt;0,Data!U46,0)+Y44</f>
        <v>0</v>
      </c>
      <c r="Z45" s="9">
        <f>IF(Data!V46&gt;0,Data!V46,0)+Z44</f>
        <v>0</v>
      </c>
      <c r="AA45" s="9"/>
    </row>
    <row r="46" spans="10:27" x14ac:dyDescent="0.25">
      <c r="J46" s="8">
        <v>46066</v>
      </c>
      <c r="K46" s="9">
        <v>143</v>
      </c>
      <c r="L46" s="9">
        <f>IF(Data!P47-4&gt;0,Data!P47-4,0)+L45</f>
        <v>0</v>
      </c>
      <c r="M46" s="9">
        <f>IF(Data!Q47-4&gt;0,Data!Q47-4,0)+M45</f>
        <v>0</v>
      </c>
      <c r="N46" s="9">
        <f>IF(Data!R47-4&gt;0,Data!R47-4,0)+N45</f>
        <v>0</v>
      </c>
      <c r="O46" s="9">
        <f>IF(Data!S47-4&gt;0,Data!S47-4,0)+O45</f>
        <v>0</v>
      </c>
      <c r="P46" s="9">
        <f>IF(Data!T47-4&gt;0,Data!T47-4,0)+P45</f>
        <v>0</v>
      </c>
      <c r="Q46" s="9">
        <f>IF(Data!U47-4&gt;0,Data!U47-4,0)+Q45</f>
        <v>0</v>
      </c>
      <c r="R46" s="9">
        <f>IF(Data!V47-4&gt;0,Data!V47-4,0)+R45</f>
        <v>0</v>
      </c>
      <c r="S46" s="9"/>
      <c r="T46" s="9">
        <f>IF(Data!P47&gt;0,Data!P47,0)+T45</f>
        <v>0</v>
      </c>
      <c r="U46" s="9">
        <f>IF(Data!Q47&gt;0,Data!Q47,0)+U45</f>
        <v>0</v>
      </c>
      <c r="V46" s="9">
        <f>IF(Data!R47&gt;0,Data!R47,0)+V45</f>
        <v>0</v>
      </c>
      <c r="W46" s="9">
        <f>IF(Data!S47&gt;0,Data!S47,0)+W45</f>
        <v>0</v>
      </c>
      <c r="X46" s="9">
        <f>IF(Data!T47&gt;0,Data!T47,0)+X45</f>
        <v>0</v>
      </c>
      <c r="Y46" s="9">
        <f>IF(Data!U47&gt;0,Data!U47,0)+Y45</f>
        <v>0</v>
      </c>
      <c r="Z46" s="9">
        <f>IF(Data!V47&gt;0,Data!V47,0)+Z45</f>
        <v>0</v>
      </c>
      <c r="AA46" s="9"/>
    </row>
    <row r="47" spans="10:27" x14ac:dyDescent="0.25">
      <c r="J47" s="8">
        <v>46067</v>
      </c>
      <c r="K47" s="9">
        <v>143</v>
      </c>
      <c r="L47" s="9">
        <f>IF(Data!P48-4&gt;0,Data!P48-4,0)+L46</f>
        <v>0</v>
      </c>
      <c r="M47" s="9">
        <f>IF(Data!Q48-4&gt;0,Data!Q48-4,0)+M46</f>
        <v>0</v>
      </c>
      <c r="N47" s="9">
        <f>IF(Data!R48-4&gt;0,Data!R48-4,0)+N46</f>
        <v>0</v>
      </c>
      <c r="O47" s="9">
        <f>IF(Data!S48-4&gt;0,Data!S48-4,0)+O46</f>
        <v>0</v>
      </c>
      <c r="P47" s="9">
        <f>IF(Data!T48-4&gt;0,Data!T48-4,0)+P46</f>
        <v>0</v>
      </c>
      <c r="Q47" s="9">
        <f>IF(Data!U48-4&gt;0,Data!U48-4,0)+Q46</f>
        <v>0</v>
      </c>
      <c r="R47" s="9">
        <f>IF(Data!V48-4&gt;0,Data!V48-4,0)+R46</f>
        <v>0</v>
      </c>
      <c r="S47" s="9"/>
      <c r="T47" s="9">
        <f>IF(Data!P48&gt;0,Data!P48,0)+T46</f>
        <v>0</v>
      </c>
      <c r="U47" s="9">
        <f>IF(Data!Q48&gt;0,Data!Q48,0)+U46</f>
        <v>0</v>
      </c>
      <c r="V47" s="9">
        <f>IF(Data!R48&gt;0,Data!R48,0)+V46</f>
        <v>0</v>
      </c>
      <c r="W47" s="9">
        <f>IF(Data!S48&gt;0,Data!S48,0)+W46</f>
        <v>0</v>
      </c>
      <c r="X47" s="9">
        <f>IF(Data!T48&gt;0,Data!T48,0)+X46</f>
        <v>0</v>
      </c>
      <c r="Y47" s="9">
        <f>IF(Data!U48&gt;0,Data!U48,0)+Y46</f>
        <v>0</v>
      </c>
      <c r="Z47" s="9">
        <f>IF(Data!V48&gt;0,Data!V48,0)+Z46</f>
        <v>0</v>
      </c>
      <c r="AA47" s="9"/>
    </row>
    <row r="48" spans="10:27" x14ac:dyDescent="0.25">
      <c r="J48" s="8">
        <v>46068</v>
      </c>
      <c r="K48" s="9">
        <v>143</v>
      </c>
      <c r="L48" s="9">
        <f>IF(Data!P49-4&gt;0,Data!P49-4,0)+L47</f>
        <v>0</v>
      </c>
      <c r="M48" s="9">
        <f>IF(Data!Q49-4&gt;0,Data!Q49-4,0)+M47</f>
        <v>0</v>
      </c>
      <c r="N48" s="9">
        <f>IF(Data!R49-4&gt;0,Data!R49-4,0)+N47</f>
        <v>0</v>
      </c>
      <c r="O48" s="9">
        <f>IF(Data!S49-4&gt;0,Data!S49-4,0)+O47</f>
        <v>0</v>
      </c>
      <c r="P48" s="9">
        <f>IF(Data!T49-4&gt;0,Data!T49-4,0)+P47</f>
        <v>0</v>
      </c>
      <c r="Q48" s="9">
        <f>IF(Data!U49-4&gt;0,Data!U49-4,0)+Q47</f>
        <v>0</v>
      </c>
      <c r="R48" s="9">
        <f>IF(Data!V49-4&gt;0,Data!V49-4,0)+R47</f>
        <v>0</v>
      </c>
      <c r="S48" s="9"/>
      <c r="T48" s="9">
        <f>IF(Data!P49&gt;0,Data!P49,0)+T47</f>
        <v>0</v>
      </c>
      <c r="U48" s="9">
        <f>IF(Data!Q49&gt;0,Data!Q49,0)+U47</f>
        <v>0</v>
      </c>
      <c r="V48" s="9">
        <f>IF(Data!R49&gt;0,Data!R49,0)+V47</f>
        <v>0</v>
      </c>
      <c r="W48" s="9">
        <f>IF(Data!S49&gt;0,Data!S49,0)+W47</f>
        <v>0</v>
      </c>
      <c r="X48" s="9">
        <f>IF(Data!T49&gt;0,Data!T49,0)+X47</f>
        <v>0</v>
      </c>
      <c r="Y48" s="9">
        <f>IF(Data!U49&gt;0,Data!U49,0)+Y47</f>
        <v>0</v>
      </c>
      <c r="Z48" s="9">
        <f>IF(Data!V49&gt;0,Data!V49,0)+Z47</f>
        <v>0</v>
      </c>
      <c r="AA48" s="9"/>
    </row>
    <row r="49" spans="10:27" x14ac:dyDescent="0.25">
      <c r="J49" s="8">
        <v>46069</v>
      </c>
      <c r="K49" s="9">
        <v>143</v>
      </c>
      <c r="L49" s="9">
        <f>IF(Data!P50-4&gt;0,Data!P50-4,0)+L48</f>
        <v>0</v>
      </c>
      <c r="M49" s="9">
        <f>IF(Data!Q50-4&gt;0,Data!Q50-4,0)+M48</f>
        <v>0</v>
      </c>
      <c r="N49" s="9">
        <f>IF(Data!R50-4&gt;0,Data!R50-4,0)+N48</f>
        <v>0</v>
      </c>
      <c r="O49" s="9">
        <f>IF(Data!S50-4&gt;0,Data!S50-4,0)+O48</f>
        <v>0</v>
      </c>
      <c r="P49" s="9">
        <f>IF(Data!T50-4&gt;0,Data!T50-4,0)+P48</f>
        <v>0</v>
      </c>
      <c r="Q49" s="9">
        <f>IF(Data!U50-4&gt;0,Data!U50-4,0)+Q48</f>
        <v>0</v>
      </c>
      <c r="R49" s="9">
        <f>IF(Data!V50-4&gt;0,Data!V50-4,0)+R48</f>
        <v>0</v>
      </c>
      <c r="S49" s="9"/>
      <c r="T49" s="9">
        <f>IF(Data!P50&gt;0,Data!P50,0)+T48</f>
        <v>0</v>
      </c>
      <c r="U49" s="9">
        <f>IF(Data!Q50&gt;0,Data!Q50,0)+U48</f>
        <v>0</v>
      </c>
      <c r="V49" s="9">
        <f>IF(Data!R50&gt;0,Data!R50,0)+V48</f>
        <v>0</v>
      </c>
      <c r="W49" s="9">
        <f>IF(Data!S50&gt;0,Data!S50,0)+W48</f>
        <v>0</v>
      </c>
      <c r="X49" s="9">
        <f>IF(Data!T50&gt;0,Data!T50,0)+X48</f>
        <v>0</v>
      </c>
      <c r="Y49" s="9">
        <f>IF(Data!U50&gt;0,Data!U50,0)+Y48</f>
        <v>0</v>
      </c>
      <c r="Z49" s="9">
        <f>IF(Data!V50&gt;0,Data!V50,0)+Z48</f>
        <v>0</v>
      </c>
      <c r="AA49" s="9"/>
    </row>
    <row r="50" spans="10:27" x14ac:dyDescent="0.25">
      <c r="J50" s="8">
        <v>46070</v>
      </c>
      <c r="K50" s="9">
        <v>143</v>
      </c>
      <c r="L50" s="9">
        <f>IF(Data!P51-4&gt;0,Data!P51-4,0)+L49</f>
        <v>0</v>
      </c>
      <c r="M50" s="9">
        <f>IF(Data!Q51-4&gt;0,Data!Q51-4,0)+M49</f>
        <v>0</v>
      </c>
      <c r="N50" s="9">
        <f>IF(Data!R51-4&gt;0,Data!R51-4,0)+N49</f>
        <v>0</v>
      </c>
      <c r="O50" s="9">
        <f>IF(Data!S51-4&gt;0,Data!S51-4,0)+O49</f>
        <v>0</v>
      </c>
      <c r="P50" s="9">
        <f>IF(Data!T51-4&gt;0,Data!T51-4,0)+P49</f>
        <v>0</v>
      </c>
      <c r="Q50" s="9">
        <f>IF(Data!U51-4&gt;0,Data!U51-4,0)+Q49</f>
        <v>0</v>
      </c>
      <c r="R50" s="9">
        <f>IF(Data!V51-4&gt;0,Data!V51-4,0)+R49</f>
        <v>0</v>
      </c>
      <c r="S50" s="9"/>
      <c r="T50" s="9">
        <f>IF(Data!P51&gt;0,Data!P51,0)+T49</f>
        <v>0</v>
      </c>
      <c r="U50" s="9">
        <f>IF(Data!Q51&gt;0,Data!Q51,0)+U49</f>
        <v>0</v>
      </c>
      <c r="V50" s="9">
        <f>IF(Data!R51&gt;0,Data!R51,0)+V49</f>
        <v>0</v>
      </c>
      <c r="W50" s="9">
        <f>IF(Data!S51&gt;0,Data!S51,0)+W49</f>
        <v>0</v>
      </c>
      <c r="X50" s="9">
        <f>IF(Data!T51&gt;0,Data!T51,0)+X49</f>
        <v>0</v>
      </c>
      <c r="Y50" s="9">
        <f>IF(Data!U51&gt;0,Data!U51,0)+Y49</f>
        <v>0</v>
      </c>
      <c r="Z50" s="9">
        <f>IF(Data!V51&gt;0,Data!V51,0)+Z49</f>
        <v>0</v>
      </c>
      <c r="AA50" s="9"/>
    </row>
    <row r="51" spans="10:27" x14ac:dyDescent="0.25">
      <c r="J51" s="8">
        <v>46071</v>
      </c>
      <c r="K51" s="9">
        <v>143</v>
      </c>
      <c r="L51" s="9">
        <f>IF(Data!P52-4&gt;0,Data!P52-4,0)+L50</f>
        <v>0</v>
      </c>
      <c r="M51" s="9">
        <f>IF(Data!Q52-4&gt;0,Data!Q52-4,0)+M50</f>
        <v>0</v>
      </c>
      <c r="N51" s="9">
        <f>IF(Data!R52-4&gt;0,Data!R52-4,0)+N50</f>
        <v>0</v>
      </c>
      <c r="O51" s="9">
        <f>IF(Data!S52-4&gt;0,Data!S52-4,0)+O50</f>
        <v>0</v>
      </c>
      <c r="P51" s="9">
        <f>IF(Data!T52-4&gt;0,Data!T52-4,0)+P50</f>
        <v>0</v>
      </c>
      <c r="Q51" s="9">
        <f>IF(Data!U52-4&gt;0,Data!U52-4,0)+Q50</f>
        <v>0</v>
      </c>
      <c r="R51" s="9">
        <f>IF(Data!V52-4&gt;0,Data!V52-4,0)+R50</f>
        <v>0</v>
      </c>
      <c r="S51" s="9"/>
      <c r="T51" s="9">
        <f>IF(Data!P52&gt;0,Data!P52,0)+T50</f>
        <v>0</v>
      </c>
      <c r="U51" s="9">
        <f>IF(Data!Q52&gt;0,Data!Q52,0)+U50</f>
        <v>0</v>
      </c>
      <c r="V51" s="9">
        <f>IF(Data!R52&gt;0,Data!R52,0)+V50</f>
        <v>0</v>
      </c>
      <c r="W51" s="9">
        <f>IF(Data!S52&gt;0,Data!S52,0)+W50</f>
        <v>0</v>
      </c>
      <c r="X51" s="9">
        <f>IF(Data!T52&gt;0,Data!T52,0)+X50</f>
        <v>0</v>
      </c>
      <c r="Y51" s="9">
        <f>IF(Data!U52&gt;0,Data!U52,0)+Y50</f>
        <v>0</v>
      </c>
      <c r="Z51" s="9">
        <f>IF(Data!V52&gt;0,Data!V52,0)+Z50</f>
        <v>0</v>
      </c>
      <c r="AA51" s="9"/>
    </row>
    <row r="52" spans="10:27" x14ac:dyDescent="0.25">
      <c r="J52" s="8">
        <v>46072</v>
      </c>
      <c r="K52" s="9">
        <v>143</v>
      </c>
      <c r="L52" s="9">
        <f>IF(Data!P53-4&gt;0,Data!P53-4,0)+L51</f>
        <v>0</v>
      </c>
      <c r="M52" s="9">
        <f>IF(Data!Q53-4&gt;0,Data!Q53-4,0)+M51</f>
        <v>0</v>
      </c>
      <c r="N52" s="9">
        <f>IF(Data!R53-4&gt;0,Data!R53-4,0)+N51</f>
        <v>0</v>
      </c>
      <c r="O52" s="9">
        <f>IF(Data!S53-4&gt;0,Data!S53-4,0)+O51</f>
        <v>0</v>
      </c>
      <c r="P52" s="9">
        <f>IF(Data!T53-4&gt;0,Data!T53-4,0)+P51</f>
        <v>0</v>
      </c>
      <c r="Q52" s="9">
        <f>IF(Data!U53-4&gt;0,Data!U53-4,0)+Q51</f>
        <v>0</v>
      </c>
      <c r="R52" s="9">
        <f>IF(Data!V53-4&gt;0,Data!V53-4,0)+R51</f>
        <v>0</v>
      </c>
      <c r="S52" s="9"/>
      <c r="T52" s="9">
        <f>IF(Data!P53&gt;0,Data!P53,0)+T51</f>
        <v>0</v>
      </c>
      <c r="U52" s="9">
        <f>IF(Data!Q53&gt;0,Data!Q53,0)+U51</f>
        <v>0</v>
      </c>
      <c r="V52" s="9">
        <f>IF(Data!R53&gt;0,Data!R53,0)+V51</f>
        <v>0</v>
      </c>
      <c r="W52" s="9">
        <f>IF(Data!S53&gt;0,Data!S53,0)+W51</f>
        <v>0</v>
      </c>
      <c r="X52" s="9">
        <f>IF(Data!T53&gt;0,Data!T53,0)+X51</f>
        <v>0</v>
      </c>
      <c r="Y52" s="9">
        <f>IF(Data!U53&gt;0,Data!U53,0)+Y51</f>
        <v>0</v>
      </c>
      <c r="Z52" s="9">
        <f>IF(Data!V53&gt;0,Data!V53,0)+Z51</f>
        <v>0</v>
      </c>
      <c r="AA52" s="9"/>
    </row>
    <row r="53" spans="10:27" x14ac:dyDescent="0.25">
      <c r="J53" s="8">
        <v>46073</v>
      </c>
      <c r="K53" s="9">
        <v>143</v>
      </c>
      <c r="L53" s="9">
        <f>IF(Data!P54-4&gt;0,Data!P54-4,0)+L52</f>
        <v>0</v>
      </c>
      <c r="M53" s="9">
        <f>IF(Data!Q54-4&gt;0,Data!Q54-4,0)+M52</f>
        <v>0</v>
      </c>
      <c r="N53" s="9">
        <f>IF(Data!R54-4&gt;0,Data!R54-4,0)+N52</f>
        <v>0</v>
      </c>
      <c r="O53" s="9">
        <f>IF(Data!S54-4&gt;0,Data!S54-4,0)+O52</f>
        <v>0</v>
      </c>
      <c r="P53" s="9">
        <f>IF(Data!T54-4&gt;0,Data!T54-4,0)+P52</f>
        <v>0</v>
      </c>
      <c r="Q53" s="9">
        <f>IF(Data!U54-4&gt;0,Data!U54-4,0)+Q52</f>
        <v>0</v>
      </c>
      <c r="R53" s="9">
        <f>IF(Data!V54-4&gt;0,Data!V54-4,0)+R52</f>
        <v>0</v>
      </c>
      <c r="S53" s="9"/>
      <c r="T53" s="9">
        <f>IF(Data!P54&gt;0,Data!P54,0)+T52</f>
        <v>0</v>
      </c>
      <c r="U53" s="9">
        <f>IF(Data!Q54&gt;0,Data!Q54,0)+U52</f>
        <v>0</v>
      </c>
      <c r="V53" s="9">
        <f>IF(Data!R54&gt;0,Data!R54,0)+V52</f>
        <v>0</v>
      </c>
      <c r="W53" s="9">
        <f>IF(Data!S54&gt;0,Data!S54,0)+W52</f>
        <v>0</v>
      </c>
      <c r="X53" s="9">
        <f>IF(Data!T54&gt;0,Data!T54,0)+X52</f>
        <v>0</v>
      </c>
      <c r="Y53" s="9">
        <f>IF(Data!U54&gt;0,Data!U54,0)+Y52</f>
        <v>0</v>
      </c>
      <c r="Z53" s="9">
        <f>IF(Data!V54&gt;0,Data!V54,0)+Z52</f>
        <v>0</v>
      </c>
      <c r="AA53" s="9"/>
    </row>
    <row r="54" spans="10:27" x14ac:dyDescent="0.25">
      <c r="J54" s="8">
        <v>46074</v>
      </c>
      <c r="K54" s="9">
        <v>143</v>
      </c>
      <c r="L54" s="9">
        <f>IF(Data!P55-4&gt;0,Data!P55-4,0)+L53</f>
        <v>0</v>
      </c>
      <c r="M54" s="9">
        <f>IF(Data!Q55-4&gt;0,Data!Q55-4,0)+M53</f>
        <v>0</v>
      </c>
      <c r="N54" s="9">
        <f>IF(Data!R55-4&gt;0,Data!R55-4,0)+N53</f>
        <v>0</v>
      </c>
      <c r="O54" s="9">
        <f>IF(Data!S55-4&gt;0,Data!S55-4,0)+O53</f>
        <v>0</v>
      </c>
      <c r="P54" s="9">
        <f>IF(Data!T55-4&gt;0,Data!T55-4,0)+P53</f>
        <v>0</v>
      </c>
      <c r="Q54" s="9">
        <f>IF(Data!U55-4&gt;0,Data!U55-4,0)+Q53</f>
        <v>0</v>
      </c>
      <c r="R54" s="9">
        <f>IF(Data!V55-4&gt;0,Data!V55-4,0)+R53</f>
        <v>0</v>
      </c>
      <c r="S54" s="9"/>
      <c r="T54" s="9">
        <f>IF(Data!P55&gt;0,Data!P55,0)+T53</f>
        <v>0</v>
      </c>
      <c r="U54" s="9">
        <f>IF(Data!Q55&gt;0,Data!Q55,0)+U53</f>
        <v>0</v>
      </c>
      <c r="V54" s="9">
        <f>IF(Data!R55&gt;0,Data!R55,0)+V53</f>
        <v>0</v>
      </c>
      <c r="W54" s="9">
        <f>IF(Data!S55&gt;0,Data!S55,0)+W53</f>
        <v>0</v>
      </c>
      <c r="X54" s="9">
        <f>IF(Data!T55&gt;0,Data!T55,0)+X53</f>
        <v>0</v>
      </c>
      <c r="Y54" s="9">
        <f>IF(Data!U55&gt;0,Data!U55,0)+Y53</f>
        <v>0</v>
      </c>
      <c r="Z54" s="9">
        <f>IF(Data!V55&gt;0,Data!V55,0)+Z53</f>
        <v>0</v>
      </c>
      <c r="AA54" s="9"/>
    </row>
    <row r="55" spans="10:27" x14ac:dyDescent="0.25">
      <c r="J55" s="8">
        <v>46075</v>
      </c>
      <c r="K55" s="9">
        <v>143</v>
      </c>
      <c r="L55" s="9">
        <f>IF(Data!P56-4&gt;0,Data!P56-4,0)+L54</f>
        <v>0</v>
      </c>
      <c r="M55" s="9">
        <f>IF(Data!Q56-4&gt;0,Data!Q56-4,0)+M54</f>
        <v>0</v>
      </c>
      <c r="N55" s="9">
        <f>IF(Data!R56-4&gt;0,Data!R56-4,0)+N54</f>
        <v>0</v>
      </c>
      <c r="O55" s="9">
        <f>IF(Data!S56-4&gt;0,Data!S56-4,0)+O54</f>
        <v>0</v>
      </c>
      <c r="P55" s="9">
        <f>IF(Data!T56-4&gt;0,Data!T56-4,0)+P54</f>
        <v>0</v>
      </c>
      <c r="Q55" s="9">
        <f>IF(Data!U56-4&gt;0,Data!U56-4,0)+Q54</f>
        <v>0</v>
      </c>
      <c r="R55" s="9">
        <f>IF(Data!V56-4&gt;0,Data!V56-4,0)+R54</f>
        <v>0</v>
      </c>
      <c r="S55" s="9"/>
      <c r="T55" s="9">
        <f>IF(Data!P56&gt;0,Data!P56,0)+T54</f>
        <v>0</v>
      </c>
      <c r="U55" s="9">
        <f>IF(Data!Q56&gt;0,Data!Q56,0)+U54</f>
        <v>0</v>
      </c>
      <c r="V55" s="9">
        <f>IF(Data!R56&gt;0,Data!R56,0)+V54</f>
        <v>0</v>
      </c>
      <c r="W55" s="9">
        <f>IF(Data!S56&gt;0,Data!S56,0)+W54</f>
        <v>0</v>
      </c>
      <c r="X55" s="9">
        <f>IF(Data!T56&gt;0,Data!T56,0)+X54</f>
        <v>0</v>
      </c>
      <c r="Y55" s="9">
        <f>IF(Data!U56&gt;0,Data!U56,0)+Y54</f>
        <v>0</v>
      </c>
      <c r="Z55" s="9">
        <f>IF(Data!V56&gt;0,Data!V56,0)+Z54</f>
        <v>0</v>
      </c>
      <c r="AA55" s="9"/>
    </row>
    <row r="56" spans="10:27" x14ac:dyDescent="0.25">
      <c r="J56" s="8">
        <v>46076</v>
      </c>
      <c r="K56" s="9">
        <v>143</v>
      </c>
      <c r="L56" s="9">
        <f>IF(Data!P57-4&gt;0,Data!P57-4,0)+L55</f>
        <v>0</v>
      </c>
      <c r="M56" s="9">
        <f>IF(Data!Q57-4&gt;0,Data!Q57-4,0)+M55</f>
        <v>0</v>
      </c>
      <c r="N56" s="9">
        <f>IF(Data!R57-4&gt;0,Data!R57-4,0)+N55</f>
        <v>0</v>
      </c>
      <c r="O56" s="9">
        <f>IF(Data!S57-4&gt;0,Data!S57-4,0)+O55</f>
        <v>0</v>
      </c>
      <c r="P56" s="9">
        <f>IF(Data!T57-4&gt;0,Data!T57-4,0)+P55</f>
        <v>0</v>
      </c>
      <c r="Q56" s="9">
        <f>IF(Data!U57-4&gt;0,Data!U57-4,0)+Q55</f>
        <v>0</v>
      </c>
      <c r="R56" s="9">
        <f>IF(Data!V57-4&gt;0,Data!V57-4,0)+R55</f>
        <v>0</v>
      </c>
      <c r="S56" s="9"/>
      <c r="T56" s="9">
        <f>IF(Data!P57&gt;0,Data!P57,0)+T55</f>
        <v>0</v>
      </c>
      <c r="U56" s="9">
        <f>IF(Data!Q57&gt;0,Data!Q57,0)+U55</f>
        <v>0</v>
      </c>
      <c r="V56" s="9">
        <f>IF(Data!R57&gt;0,Data!R57,0)+V55</f>
        <v>0</v>
      </c>
      <c r="W56" s="9">
        <f>IF(Data!S57&gt;0,Data!S57,0)+W55</f>
        <v>0</v>
      </c>
      <c r="X56" s="9">
        <f>IF(Data!T57&gt;0,Data!T57,0)+X55</f>
        <v>0</v>
      </c>
      <c r="Y56" s="9">
        <f>IF(Data!U57&gt;0,Data!U57,0)+Y55</f>
        <v>0</v>
      </c>
      <c r="Z56" s="9">
        <f>IF(Data!V57&gt;0,Data!V57,0)+Z55</f>
        <v>0</v>
      </c>
      <c r="AA56" s="9"/>
    </row>
    <row r="57" spans="10:27" x14ac:dyDescent="0.25">
      <c r="J57" s="8">
        <v>46077</v>
      </c>
      <c r="K57" s="9">
        <v>143</v>
      </c>
      <c r="L57" s="9">
        <f>IF(Data!P58-4&gt;0,Data!P58-4,0)+L56</f>
        <v>0</v>
      </c>
      <c r="M57" s="9">
        <f>IF(Data!Q58-4&gt;0,Data!Q58-4,0)+M56</f>
        <v>0</v>
      </c>
      <c r="N57" s="9">
        <f>IF(Data!R58-4&gt;0,Data!R58-4,0)+N56</f>
        <v>0</v>
      </c>
      <c r="O57" s="9">
        <f>IF(Data!S58-4&gt;0,Data!S58-4,0)+O56</f>
        <v>0</v>
      </c>
      <c r="P57" s="9">
        <f>IF(Data!T58-4&gt;0,Data!T58-4,0)+P56</f>
        <v>0</v>
      </c>
      <c r="Q57" s="9">
        <f>IF(Data!U58-4&gt;0,Data!U58-4,0)+Q56</f>
        <v>0</v>
      </c>
      <c r="R57" s="9">
        <f>IF(Data!V58-4&gt;0,Data!V58-4,0)+R56</f>
        <v>0</v>
      </c>
      <c r="S57" s="9"/>
      <c r="T57" s="9">
        <f>IF(Data!P58&gt;0,Data!P58,0)+T56</f>
        <v>0</v>
      </c>
      <c r="U57" s="9">
        <f>IF(Data!Q58&gt;0,Data!Q58,0)+U56</f>
        <v>0</v>
      </c>
      <c r="V57" s="9">
        <f>IF(Data!R58&gt;0,Data!R58,0)+V56</f>
        <v>0</v>
      </c>
      <c r="W57" s="9">
        <f>IF(Data!S58&gt;0,Data!S58,0)+W56</f>
        <v>0</v>
      </c>
      <c r="X57" s="9">
        <f>IF(Data!T58&gt;0,Data!T58,0)+X56</f>
        <v>0</v>
      </c>
      <c r="Y57" s="9">
        <f>IF(Data!U58&gt;0,Data!U58,0)+Y56</f>
        <v>0</v>
      </c>
      <c r="Z57" s="9">
        <f>IF(Data!V58&gt;0,Data!V58,0)+Z56</f>
        <v>0</v>
      </c>
      <c r="AA57" s="9"/>
    </row>
    <row r="58" spans="10:27" x14ac:dyDescent="0.25">
      <c r="J58" s="8">
        <v>46078</v>
      </c>
      <c r="K58" s="9">
        <v>143</v>
      </c>
      <c r="L58" s="9">
        <f>IF(Data!P59-4&gt;0,Data!P59-4,0)+L57</f>
        <v>0</v>
      </c>
      <c r="M58" s="9">
        <f>IF(Data!Q59-4&gt;0,Data!Q59-4,0)+M57</f>
        <v>0</v>
      </c>
      <c r="N58" s="9">
        <f>IF(Data!R59-4&gt;0,Data!R59-4,0)+N57</f>
        <v>0</v>
      </c>
      <c r="O58" s="9">
        <f>IF(Data!S59-4&gt;0,Data!S59-4,0)+O57</f>
        <v>0</v>
      </c>
      <c r="P58" s="9">
        <f>IF(Data!T59-4&gt;0,Data!T59-4,0)+P57</f>
        <v>0</v>
      </c>
      <c r="Q58" s="9">
        <f>IF(Data!U59-4&gt;0,Data!U59-4,0)+Q57</f>
        <v>0</v>
      </c>
      <c r="R58" s="9">
        <f>IF(Data!V59-4&gt;0,Data!V59-4,0)+R57</f>
        <v>0</v>
      </c>
      <c r="S58" s="9"/>
      <c r="T58" s="9">
        <f>IF(Data!P59&gt;0,Data!P59,0)+T57</f>
        <v>0</v>
      </c>
      <c r="U58" s="9">
        <f>IF(Data!Q59&gt;0,Data!Q59,0)+U57</f>
        <v>0</v>
      </c>
      <c r="V58" s="9">
        <f>IF(Data!R59&gt;0,Data!R59,0)+V57</f>
        <v>0</v>
      </c>
      <c r="W58" s="9">
        <f>IF(Data!S59&gt;0,Data!S59,0)+W57</f>
        <v>0</v>
      </c>
      <c r="X58" s="9">
        <f>IF(Data!T59&gt;0,Data!T59,0)+X57</f>
        <v>0</v>
      </c>
      <c r="Y58" s="9">
        <f>IF(Data!U59&gt;0,Data!U59,0)+Y57</f>
        <v>0</v>
      </c>
      <c r="Z58" s="9">
        <f>IF(Data!V59&gt;0,Data!V59,0)+Z57</f>
        <v>0</v>
      </c>
      <c r="AA58" s="9"/>
    </row>
    <row r="59" spans="10:27" x14ac:dyDescent="0.25">
      <c r="J59" s="8">
        <v>46079</v>
      </c>
      <c r="K59" s="9">
        <v>143</v>
      </c>
      <c r="L59" s="9">
        <f>IF(Data!P60-4&gt;0,Data!P60-4,0)+L58</f>
        <v>0</v>
      </c>
      <c r="M59" s="9">
        <f>IF(Data!Q60-4&gt;0,Data!Q60-4,0)+M58</f>
        <v>0</v>
      </c>
      <c r="N59" s="9">
        <f>IF(Data!R60-4&gt;0,Data!R60-4,0)+N58</f>
        <v>0</v>
      </c>
      <c r="O59" s="9">
        <f>IF(Data!S60-4&gt;0,Data!S60-4,0)+O58</f>
        <v>0</v>
      </c>
      <c r="P59" s="9">
        <f>IF(Data!T60-4&gt;0,Data!T60-4,0)+P58</f>
        <v>0</v>
      </c>
      <c r="Q59" s="9">
        <f>IF(Data!U60-4&gt;0,Data!U60-4,0)+Q58</f>
        <v>0</v>
      </c>
      <c r="R59" s="9">
        <f>IF(Data!V60-4&gt;0,Data!V60-4,0)+R58</f>
        <v>0</v>
      </c>
      <c r="S59" s="9"/>
      <c r="T59" s="9">
        <f>IF(Data!P60&gt;0,Data!P60,0)+T58</f>
        <v>0</v>
      </c>
      <c r="U59" s="9">
        <f>IF(Data!Q60&gt;0,Data!Q60,0)+U58</f>
        <v>0</v>
      </c>
      <c r="V59" s="9">
        <f>IF(Data!R60&gt;0,Data!R60,0)+V58</f>
        <v>0</v>
      </c>
      <c r="W59" s="9">
        <f>IF(Data!S60&gt;0,Data!S60,0)+W58</f>
        <v>0</v>
      </c>
      <c r="X59" s="9">
        <f>IF(Data!T60&gt;0,Data!T60,0)+X58</f>
        <v>0</v>
      </c>
      <c r="Y59" s="9">
        <f>IF(Data!U60&gt;0,Data!U60,0)+Y58</f>
        <v>0</v>
      </c>
      <c r="Z59" s="9">
        <f>IF(Data!V60&gt;0,Data!V60,0)+Z58</f>
        <v>0</v>
      </c>
      <c r="AA59" s="9"/>
    </row>
    <row r="60" spans="10:27" x14ac:dyDescent="0.25">
      <c r="J60" s="8">
        <v>46080</v>
      </c>
      <c r="K60" s="9">
        <v>143</v>
      </c>
      <c r="L60" s="9">
        <f>IF(Data!P61-4&gt;0,Data!P61-4,0)+L59</f>
        <v>0</v>
      </c>
      <c r="M60" s="9">
        <f>IF(Data!Q61-4&gt;0,Data!Q61-4,0)+M59</f>
        <v>0</v>
      </c>
      <c r="N60" s="9">
        <f>IF(Data!R61-4&gt;0,Data!R61-4,0)+N59</f>
        <v>0</v>
      </c>
      <c r="O60" s="9">
        <f>IF(Data!S61-4&gt;0,Data!S61-4,0)+O59</f>
        <v>0</v>
      </c>
      <c r="P60" s="9">
        <f>IF(Data!T61-4&gt;0,Data!T61-4,0)+P59</f>
        <v>0</v>
      </c>
      <c r="Q60" s="9">
        <f>IF(Data!U61-4&gt;0,Data!U61-4,0)+Q59</f>
        <v>0</v>
      </c>
      <c r="R60" s="9">
        <f>IF(Data!V61-4&gt;0,Data!V61-4,0)+R59</f>
        <v>0</v>
      </c>
      <c r="S60" s="9"/>
      <c r="T60" s="9">
        <f>IF(Data!P61&gt;0,Data!P61,0)+T59</f>
        <v>0</v>
      </c>
      <c r="U60" s="9">
        <f>IF(Data!Q61&gt;0,Data!Q61,0)+U59</f>
        <v>0</v>
      </c>
      <c r="V60" s="9">
        <f>IF(Data!R61&gt;0,Data!R61,0)+V59</f>
        <v>0</v>
      </c>
      <c r="W60" s="9">
        <f>IF(Data!S61&gt;0,Data!S61,0)+W59</f>
        <v>0</v>
      </c>
      <c r="X60" s="9">
        <f>IF(Data!T61&gt;0,Data!T61,0)+X59</f>
        <v>0</v>
      </c>
      <c r="Y60" s="9">
        <f>IF(Data!U61&gt;0,Data!U61,0)+Y59</f>
        <v>0</v>
      </c>
      <c r="Z60" s="9">
        <f>IF(Data!V61&gt;0,Data!V61,0)+Z59</f>
        <v>0</v>
      </c>
      <c r="AA60" s="9"/>
    </row>
    <row r="61" spans="10:27" x14ac:dyDescent="0.25">
      <c r="J61" s="8">
        <v>46081</v>
      </c>
      <c r="K61" s="9">
        <v>143</v>
      </c>
      <c r="L61" s="9">
        <f>IF(Data!P62-4&gt;0,Data!P62-4,0)+L60</f>
        <v>0</v>
      </c>
      <c r="M61" s="9">
        <f>IF(Data!Q62-4&gt;0,Data!Q62-4,0)+M60</f>
        <v>0</v>
      </c>
      <c r="N61" s="9">
        <f>IF(Data!R62-4&gt;0,Data!R62-4,0)+N60</f>
        <v>0</v>
      </c>
      <c r="O61" s="9">
        <f>IF(Data!S62-4&gt;0,Data!S62-4,0)+O60</f>
        <v>0</v>
      </c>
      <c r="P61" s="9">
        <f>IF(Data!T62-4&gt;0,Data!T62-4,0)+P60</f>
        <v>0</v>
      </c>
      <c r="Q61" s="9">
        <f>IF(Data!U62-4&gt;0,Data!U62-4,0)+Q60</f>
        <v>0</v>
      </c>
      <c r="R61" s="9">
        <f>IF(Data!V62-4&gt;0,Data!V62-4,0)+R60</f>
        <v>0</v>
      </c>
      <c r="S61" s="9"/>
      <c r="T61" s="9">
        <f>IF(Data!P62&gt;0,Data!P62,0)+T60</f>
        <v>0</v>
      </c>
      <c r="U61" s="9">
        <f>IF(Data!Q62&gt;0,Data!Q62,0)+U60</f>
        <v>0</v>
      </c>
      <c r="V61" s="9">
        <f>IF(Data!R62&gt;0,Data!R62,0)+V60</f>
        <v>0</v>
      </c>
      <c r="W61" s="9">
        <f>IF(Data!S62&gt;0,Data!S62,0)+W60</f>
        <v>0</v>
      </c>
      <c r="X61" s="9">
        <f>IF(Data!T62&gt;0,Data!T62,0)+X60</f>
        <v>0</v>
      </c>
      <c r="Y61" s="9">
        <f>IF(Data!U62&gt;0,Data!U62,0)+Y60</f>
        <v>0</v>
      </c>
      <c r="Z61" s="9">
        <f>IF(Data!V62&gt;0,Data!V62,0)+Z60</f>
        <v>0</v>
      </c>
      <c r="AA61" s="9"/>
    </row>
    <row r="62" spans="10:27" x14ac:dyDescent="0.25">
      <c r="J62" s="8">
        <v>46082</v>
      </c>
      <c r="K62" s="9">
        <v>143</v>
      </c>
      <c r="L62" s="9">
        <f>IF(Data!P63-4&gt;0,Data!P63-4,0)+L61</f>
        <v>0</v>
      </c>
      <c r="M62" s="9">
        <f>IF(Data!Q63-4&gt;0,Data!Q63-4,0)+M61</f>
        <v>0</v>
      </c>
      <c r="N62" s="9">
        <f>IF(Data!R63-4&gt;0,Data!R63-4,0)+N61</f>
        <v>0</v>
      </c>
      <c r="O62" s="9">
        <f>IF(Data!S63-4&gt;0,Data!S63-4,0)+O61</f>
        <v>0</v>
      </c>
      <c r="P62" s="9">
        <f>IF(Data!T63-4&gt;0,Data!T63-4,0)+P61</f>
        <v>0</v>
      </c>
      <c r="Q62" s="9">
        <f>IF(Data!U63-4&gt;0,Data!U63-4,0)+Q61</f>
        <v>0</v>
      </c>
      <c r="R62" s="9">
        <f>IF(Data!V63-4&gt;0,Data!V63-4,0)+R61</f>
        <v>0</v>
      </c>
      <c r="S62" s="9"/>
      <c r="T62" s="9">
        <f>IF(Data!P63&gt;0,Data!P63,0)+T61</f>
        <v>0</v>
      </c>
      <c r="U62" s="9">
        <f>IF(Data!Q63&gt;0,Data!Q63,0)+U61</f>
        <v>0</v>
      </c>
      <c r="V62" s="9">
        <f>IF(Data!R63&gt;0,Data!R63,0)+V61</f>
        <v>0</v>
      </c>
      <c r="W62" s="9">
        <f>IF(Data!S63&gt;0,Data!S63,0)+W61</f>
        <v>0</v>
      </c>
      <c r="X62" s="9">
        <f>IF(Data!T63&gt;0,Data!T63,0)+X61</f>
        <v>0</v>
      </c>
      <c r="Y62" s="9">
        <f>IF(Data!U63&gt;0,Data!U63,0)+Y61</f>
        <v>0</v>
      </c>
      <c r="Z62" s="9">
        <f>IF(Data!V63&gt;0,Data!V63,0)+Z61</f>
        <v>0</v>
      </c>
      <c r="AA62" s="9"/>
    </row>
    <row r="63" spans="10:27" x14ac:dyDescent="0.25">
      <c r="J63" s="8">
        <v>46083</v>
      </c>
      <c r="K63" s="9">
        <v>143</v>
      </c>
      <c r="L63" s="9">
        <f>IF(Data!P64-4&gt;0,Data!P64-4,0)+L62</f>
        <v>0</v>
      </c>
      <c r="M63" s="9">
        <f>IF(Data!Q64-4&gt;0,Data!Q64-4,0)+M62</f>
        <v>0</v>
      </c>
      <c r="N63" s="9">
        <f>IF(Data!R64-4&gt;0,Data!R64-4,0)+N62</f>
        <v>0</v>
      </c>
      <c r="O63" s="9">
        <f>IF(Data!S64-4&gt;0,Data!S64-4,0)+O62</f>
        <v>0</v>
      </c>
      <c r="P63" s="9">
        <f>IF(Data!T64-4&gt;0,Data!T64-4,0)+P62</f>
        <v>0</v>
      </c>
      <c r="Q63" s="9">
        <f>IF(Data!U64-4&gt;0,Data!U64-4,0)+Q62</f>
        <v>0</v>
      </c>
      <c r="R63" s="9">
        <f>IF(Data!V64-4&gt;0,Data!V64-4,0)+R62</f>
        <v>0</v>
      </c>
      <c r="S63" s="9"/>
      <c r="T63" s="9">
        <f>IF(Data!P64&gt;0,Data!P64,0)+T62</f>
        <v>0</v>
      </c>
      <c r="U63" s="9">
        <f>IF(Data!Q64&gt;0,Data!Q64,0)+U62</f>
        <v>0</v>
      </c>
      <c r="V63" s="9">
        <f>IF(Data!R64&gt;0,Data!R64,0)+V62</f>
        <v>0</v>
      </c>
      <c r="W63" s="9">
        <f>IF(Data!S64&gt;0,Data!S64,0)+W62</f>
        <v>0</v>
      </c>
      <c r="X63" s="9">
        <f>IF(Data!T64&gt;0,Data!T64,0)+X62</f>
        <v>0</v>
      </c>
      <c r="Y63" s="9">
        <f>IF(Data!U64&gt;0,Data!U64,0)+Y62</f>
        <v>0</v>
      </c>
      <c r="Z63" s="9">
        <f>IF(Data!V64&gt;0,Data!V64,0)+Z62</f>
        <v>0</v>
      </c>
      <c r="AA63" s="9"/>
    </row>
    <row r="64" spans="10:27" x14ac:dyDescent="0.25">
      <c r="J64" s="8">
        <v>46084</v>
      </c>
      <c r="K64" s="9">
        <v>143</v>
      </c>
      <c r="L64" s="9">
        <f>IF(Data!P65-4&gt;0,Data!P65-4,0)+L63</f>
        <v>0</v>
      </c>
      <c r="M64" s="9">
        <f>IF(Data!Q65-4&gt;0,Data!Q65-4,0)+M63</f>
        <v>0</v>
      </c>
      <c r="N64" s="9">
        <f>IF(Data!R65-4&gt;0,Data!R65-4,0)+N63</f>
        <v>0</v>
      </c>
      <c r="O64" s="9">
        <f>IF(Data!S65-4&gt;0,Data!S65-4,0)+O63</f>
        <v>0</v>
      </c>
      <c r="P64" s="9">
        <f>IF(Data!T65-4&gt;0,Data!T65-4,0)+P63</f>
        <v>0</v>
      </c>
      <c r="Q64" s="9">
        <f>IF(Data!U65-4&gt;0,Data!U65-4,0)+Q63</f>
        <v>0</v>
      </c>
      <c r="R64" s="9">
        <f>IF(Data!V65-4&gt;0,Data!V65-4,0)+R63</f>
        <v>0</v>
      </c>
      <c r="S64" s="9"/>
      <c r="T64" s="9">
        <f>IF(Data!P65&gt;0,Data!P65,0)+T63</f>
        <v>0</v>
      </c>
      <c r="U64" s="9">
        <f>IF(Data!Q65&gt;0,Data!Q65,0)+U63</f>
        <v>0</v>
      </c>
      <c r="V64" s="9">
        <f>IF(Data!R65&gt;0,Data!R65,0)+V63</f>
        <v>0</v>
      </c>
      <c r="W64" s="9">
        <f>IF(Data!S65&gt;0,Data!S65,0)+W63</f>
        <v>0</v>
      </c>
      <c r="X64" s="9">
        <f>IF(Data!T65&gt;0,Data!T65,0)+X63</f>
        <v>0</v>
      </c>
      <c r="Y64" s="9">
        <f>IF(Data!U65&gt;0,Data!U65,0)+Y63</f>
        <v>0</v>
      </c>
      <c r="Z64" s="9">
        <f>IF(Data!V65&gt;0,Data!V65,0)+Z63</f>
        <v>0</v>
      </c>
      <c r="AA64" s="9"/>
    </row>
    <row r="65" spans="10:27" x14ac:dyDescent="0.25">
      <c r="J65" s="8">
        <v>46085</v>
      </c>
      <c r="K65" s="9">
        <v>143</v>
      </c>
      <c r="L65" s="9">
        <f>IF(Data!P66-4&gt;0,Data!P66-4,0)+L64</f>
        <v>0</v>
      </c>
      <c r="M65" s="9">
        <f>IF(Data!Q66-4&gt;0,Data!Q66-4,0)+M64</f>
        <v>0</v>
      </c>
      <c r="N65" s="9">
        <f>IF(Data!R66-4&gt;0,Data!R66-4,0)+N64</f>
        <v>0</v>
      </c>
      <c r="O65" s="9">
        <f>IF(Data!S66-4&gt;0,Data!S66-4,0)+O64</f>
        <v>0</v>
      </c>
      <c r="P65" s="9">
        <f>IF(Data!T66-4&gt;0,Data!T66-4,0)+P64</f>
        <v>0</v>
      </c>
      <c r="Q65" s="9">
        <f>IF(Data!U66-4&gt;0,Data!U66-4,0)+Q64</f>
        <v>0</v>
      </c>
      <c r="R65" s="9">
        <f>IF(Data!V66-4&gt;0,Data!V66-4,0)+R64</f>
        <v>0</v>
      </c>
      <c r="S65" s="9"/>
      <c r="T65" s="9">
        <f>IF(Data!P66&gt;0,Data!P66,0)+T64</f>
        <v>0</v>
      </c>
      <c r="U65" s="9">
        <f>IF(Data!Q66&gt;0,Data!Q66,0)+U64</f>
        <v>0</v>
      </c>
      <c r="V65" s="9">
        <f>IF(Data!R66&gt;0,Data!R66,0)+V64</f>
        <v>0</v>
      </c>
      <c r="W65" s="9">
        <f>IF(Data!S66&gt;0,Data!S66,0)+W64</f>
        <v>0</v>
      </c>
      <c r="X65" s="9">
        <f>IF(Data!T66&gt;0,Data!T66,0)+X64</f>
        <v>0</v>
      </c>
      <c r="Y65" s="9">
        <f>IF(Data!U66&gt;0,Data!U66,0)+Y64</f>
        <v>0</v>
      </c>
      <c r="Z65" s="9">
        <f>IF(Data!V66&gt;0,Data!V66,0)+Z64</f>
        <v>0</v>
      </c>
      <c r="AA65" s="9"/>
    </row>
    <row r="66" spans="10:27" x14ac:dyDescent="0.25">
      <c r="J66" s="8">
        <v>46086</v>
      </c>
      <c r="K66" s="9">
        <v>143</v>
      </c>
      <c r="L66" s="9">
        <f>IF(Data!P67-4&gt;0,Data!P67-4,0)+L65</f>
        <v>0</v>
      </c>
      <c r="M66" s="9">
        <f>IF(Data!Q67-4&gt;0,Data!Q67-4,0)+M65</f>
        <v>0</v>
      </c>
      <c r="N66" s="9">
        <f>IF(Data!R67-4&gt;0,Data!R67-4,0)+N65</f>
        <v>0</v>
      </c>
      <c r="O66" s="9">
        <f>IF(Data!S67-4&gt;0,Data!S67-4,0)+O65</f>
        <v>0</v>
      </c>
      <c r="P66" s="9">
        <f>IF(Data!T67-4&gt;0,Data!T67-4,0)+P65</f>
        <v>0</v>
      </c>
      <c r="Q66" s="9">
        <f>IF(Data!U67-4&gt;0,Data!U67-4,0)+Q65</f>
        <v>0</v>
      </c>
      <c r="R66" s="9">
        <f>IF(Data!V67-4&gt;0,Data!V67-4,0)+R65</f>
        <v>0</v>
      </c>
      <c r="S66" s="9"/>
      <c r="T66" s="9">
        <f>IF(Data!P67&gt;0,Data!P67,0)+T65</f>
        <v>0</v>
      </c>
      <c r="U66" s="9">
        <f>IF(Data!Q67&gt;0,Data!Q67,0)+U65</f>
        <v>0</v>
      </c>
      <c r="V66" s="9">
        <f>IF(Data!R67&gt;0,Data!R67,0)+V65</f>
        <v>0</v>
      </c>
      <c r="W66" s="9">
        <f>IF(Data!S67&gt;0,Data!S67,0)+W65</f>
        <v>0</v>
      </c>
      <c r="X66" s="9">
        <f>IF(Data!T67&gt;0,Data!T67,0)+X65</f>
        <v>0</v>
      </c>
      <c r="Y66" s="9">
        <f>IF(Data!U67&gt;0,Data!U67,0)+Y65</f>
        <v>0</v>
      </c>
      <c r="Z66" s="9">
        <f>IF(Data!V67&gt;0,Data!V67,0)+Z65</f>
        <v>0</v>
      </c>
      <c r="AA66" s="9"/>
    </row>
    <row r="67" spans="10:27" x14ac:dyDescent="0.25">
      <c r="J67" s="8">
        <v>46087</v>
      </c>
      <c r="K67" s="9">
        <v>143</v>
      </c>
      <c r="L67" s="9">
        <f>IF(Data!P68-4&gt;0,Data!P68-4,0)+L66</f>
        <v>0</v>
      </c>
      <c r="M67" s="9">
        <f>IF(Data!Q68-4&gt;0,Data!Q68-4,0)+M66</f>
        <v>0</v>
      </c>
      <c r="N67" s="9">
        <f>IF(Data!R68-4&gt;0,Data!R68-4,0)+N66</f>
        <v>0</v>
      </c>
      <c r="O67" s="9">
        <f>IF(Data!S68-4&gt;0,Data!S68-4,0)+O66</f>
        <v>0</v>
      </c>
      <c r="P67" s="9">
        <f>IF(Data!T68-4&gt;0,Data!T68-4,0)+P66</f>
        <v>0</v>
      </c>
      <c r="Q67" s="9">
        <f>IF(Data!U68-4&gt;0,Data!U68-4,0)+Q66</f>
        <v>0</v>
      </c>
      <c r="R67" s="9">
        <f>IF(Data!V68-4&gt;0,Data!V68-4,0)+R66</f>
        <v>0</v>
      </c>
      <c r="S67" s="9"/>
      <c r="T67" s="9">
        <f>IF(Data!P68&gt;0,Data!P68,0)+T66</f>
        <v>0</v>
      </c>
      <c r="U67" s="9">
        <f>IF(Data!Q68&gt;0,Data!Q68,0)+U66</f>
        <v>0</v>
      </c>
      <c r="V67" s="9">
        <f>IF(Data!R68&gt;0,Data!R68,0)+V66</f>
        <v>0</v>
      </c>
      <c r="W67" s="9">
        <f>IF(Data!S68&gt;0,Data!S68,0)+W66</f>
        <v>0</v>
      </c>
      <c r="X67" s="9">
        <f>IF(Data!T68&gt;0,Data!T68,0)+X66</f>
        <v>0</v>
      </c>
      <c r="Y67" s="9">
        <f>IF(Data!U68&gt;0,Data!U68,0)+Y66</f>
        <v>0</v>
      </c>
      <c r="Z67" s="9">
        <f>IF(Data!V68&gt;0,Data!V68,0)+Z66</f>
        <v>0</v>
      </c>
      <c r="AA67" s="9"/>
    </row>
    <row r="68" spans="10:27" x14ac:dyDescent="0.25">
      <c r="J68" s="8">
        <v>46088</v>
      </c>
      <c r="K68" s="9">
        <v>143</v>
      </c>
      <c r="L68" s="9">
        <f>IF(Data!P69-4&gt;0,Data!P69-4,0)+L67</f>
        <v>0</v>
      </c>
      <c r="M68" s="9">
        <f>IF(Data!Q69-4&gt;0,Data!Q69-4,0)+M67</f>
        <v>0</v>
      </c>
      <c r="N68" s="9">
        <f>IF(Data!R69-4&gt;0,Data!R69-4,0)+N67</f>
        <v>0</v>
      </c>
      <c r="O68" s="9">
        <f>IF(Data!S69-4&gt;0,Data!S69-4,0)+O67</f>
        <v>0</v>
      </c>
      <c r="P68" s="9">
        <f>IF(Data!T69-4&gt;0,Data!T69-4,0)+P67</f>
        <v>0</v>
      </c>
      <c r="Q68" s="9">
        <f>IF(Data!U69-4&gt;0,Data!U69-4,0)+Q67</f>
        <v>0</v>
      </c>
      <c r="R68" s="9">
        <f>IF(Data!V69-4&gt;0,Data!V69-4,0)+R67</f>
        <v>0</v>
      </c>
      <c r="S68" s="9"/>
      <c r="T68" s="9">
        <f>IF(Data!P69&gt;0,Data!P69,0)+T67</f>
        <v>0</v>
      </c>
      <c r="U68" s="9">
        <f>IF(Data!Q69&gt;0,Data!Q69,0)+U67</f>
        <v>0</v>
      </c>
      <c r="V68" s="9">
        <f>IF(Data!R69&gt;0,Data!R69,0)+V67</f>
        <v>0</v>
      </c>
      <c r="W68" s="9">
        <f>IF(Data!S69&gt;0,Data!S69,0)+W67</f>
        <v>0</v>
      </c>
      <c r="X68" s="9">
        <f>IF(Data!T69&gt;0,Data!T69,0)+X67</f>
        <v>0</v>
      </c>
      <c r="Y68" s="9">
        <f>IF(Data!U69&gt;0,Data!U69,0)+Y67</f>
        <v>0</v>
      </c>
      <c r="Z68" s="9">
        <f>IF(Data!V69&gt;0,Data!V69,0)+Z67</f>
        <v>0</v>
      </c>
      <c r="AA68" s="9"/>
    </row>
    <row r="69" spans="10:27" x14ac:dyDescent="0.25">
      <c r="J69" s="8">
        <v>46089</v>
      </c>
      <c r="K69" s="9">
        <v>143</v>
      </c>
      <c r="L69" s="9">
        <f>IF(Data!P70-4&gt;0,Data!P70-4,0)+L68</f>
        <v>0</v>
      </c>
      <c r="M69" s="9">
        <f>IF(Data!Q70-4&gt;0,Data!Q70-4,0)+M68</f>
        <v>0</v>
      </c>
      <c r="N69" s="9">
        <f>IF(Data!R70-4&gt;0,Data!R70-4,0)+N68</f>
        <v>0</v>
      </c>
      <c r="O69" s="9">
        <f>IF(Data!S70-4&gt;0,Data!S70-4,0)+O68</f>
        <v>0</v>
      </c>
      <c r="P69" s="9">
        <f>IF(Data!T70-4&gt;0,Data!T70-4,0)+P68</f>
        <v>0</v>
      </c>
      <c r="Q69" s="9">
        <f>IF(Data!U70-4&gt;0,Data!U70-4,0)+Q68</f>
        <v>0</v>
      </c>
      <c r="R69" s="9">
        <f>IF(Data!V70-4&gt;0,Data!V70-4,0)+R68</f>
        <v>0</v>
      </c>
      <c r="S69" s="9"/>
      <c r="T69" s="9">
        <f>IF(Data!P70&gt;0,Data!P70,0)+T68</f>
        <v>0</v>
      </c>
      <c r="U69" s="9">
        <f>IF(Data!Q70&gt;0,Data!Q70,0)+U68</f>
        <v>0</v>
      </c>
      <c r="V69" s="9">
        <f>IF(Data!R70&gt;0,Data!R70,0)+V68</f>
        <v>0</v>
      </c>
      <c r="W69" s="9">
        <f>IF(Data!S70&gt;0,Data!S70,0)+W68</f>
        <v>0</v>
      </c>
      <c r="X69" s="9">
        <f>IF(Data!T70&gt;0,Data!T70,0)+X68</f>
        <v>0</v>
      </c>
      <c r="Y69" s="9">
        <f>IF(Data!U70&gt;0,Data!U70,0)+Y68</f>
        <v>0</v>
      </c>
      <c r="Z69" s="9">
        <f>IF(Data!V70&gt;0,Data!V70,0)+Z68</f>
        <v>0</v>
      </c>
      <c r="AA69" s="9"/>
    </row>
    <row r="70" spans="10:27" x14ac:dyDescent="0.25">
      <c r="J70" s="8">
        <v>46090</v>
      </c>
      <c r="K70" s="9">
        <v>143</v>
      </c>
      <c r="L70" s="9">
        <f>IF(Data!P71-4&gt;0,Data!P71-4,0)+L69</f>
        <v>0</v>
      </c>
      <c r="M70" s="9">
        <f>IF(Data!Q71-4&gt;0,Data!Q71-4,0)+M69</f>
        <v>0</v>
      </c>
      <c r="N70" s="9">
        <f>IF(Data!R71-4&gt;0,Data!R71-4,0)+N69</f>
        <v>0</v>
      </c>
      <c r="O70" s="9">
        <f>IF(Data!S71-4&gt;0,Data!S71-4,0)+O69</f>
        <v>0</v>
      </c>
      <c r="P70" s="9">
        <f>IF(Data!T71-4&gt;0,Data!T71-4,0)+P69</f>
        <v>0</v>
      </c>
      <c r="Q70" s="9">
        <f>IF(Data!U71-4&gt;0,Data!U71-4,0)+Q69</f>
        <v>0</v>
      </c>
      <c r="R70" s="9">
        <f>IF(Data!V71-4&gt;0,Data!V71-4,0)+R69</f>
        <v>0</v>
      </c>
      <c r="S70" s="9"/>
      <c r="T70" s="9">
        <f>IF(Data!P71&gt;0,Data!P71,0)+T69</f>
        <v>0</v>
      </c>
      <c r="U70" s="9">
        <f>IF(Data!Q71&gt;0,Data!Q71,0)+U69</f>
        <v>0</v>
      </c>
      <c r="V70" s="9">
        <f>IF(Data!R71&gt;0,Data!R71,0)+V69</f>
        <v>0</v>
      </c>
      <c r="W70" s="9">
        <f>IF(Data!S71&gt;0,Data!S71,0)+W69</f>
        <v>0</v>
      </c>
      <c r="X70" s="9">
        <f>IF(Data!T71&gt;0,Data!T71,0)+X69</f>
        <v>0</v>
      </c>
      <c r="Y70" s="9">
        <f>IF(Data!U71&gt;0,Data!U71,0)+Y69</f>
        <v>0</v>
      </c>
      <c r="Z70" s="9">
        <f>IF(Data!V71&gt;0,Data!V71,0)+Z69</f>
        <v>0</v>
      </c>
      <c r="AA70" s="9"/>
    </row>
    <row r="71" spans="10:27" x14ac:dyDescent="0.25">
      <c r="J71" s="8">
        <v>46091</v>
      </c>
      <c r="K71" s="9">
        <v>143</v>
      </c>
      <c r="L71" s="9">
        <f>IF(Data!P72-4&gt;0,Data!P72-4,0)+L70</f>
        <v>0</v>
      </c>
      <c r="M71" s="9">
        <f>IF(Data!Q72-4&gt;0,Data!Q72-4,0)+M70</f>
        <v>0</v>
      </c>
      <c r="N71" s="9">
        <f>IF(Data!R72-4&gt;0,Data!R72-4,0)+N70</f>
        <v>0</v>
      </c>
      <c r="O71" s="9">
        <f>IF(Data!S72-4&gt;0,Data!S72-4,0)+O70</f>
        <v>0</v>
      </c>
      <c r="P71" s="9">
        <f>IF(Data!T72-4&gt;0,Data!T72-4,0)+P70</f>
        <v>0</v>
      </c>
      <c r="Q71" s="9">
        <f>IF(Data!U72-4&gt;0,Data!U72-4,0)+Q70</f>
        <v>0</v>
      </c>
      <c r="R71" s="9">
        <f>IF(Data!V72-4&gt;0,Data!V72-4,0)+R70</f>
        <v>0</v>
      </c>
      <c r="S71" s="9"/>
      <c r="T71" s="9">
        <f>IF(Data!P72&gt;0,Data!P72,0)+T70</f>
        <v>0</v>
      </c>
      <c r="U71" s="9">
        <f>IF(Data!Q72&gt;0,Data!Q72,0)+U70</f>
        <v>0</v>
      </c>
      <c r="V71" s="9">
        <f>IF(Data!R72&gt;0,Data!R72,0)+V70</f>
        <v>0</v>
      </c>
      <c r="W71" s="9">
        <f>IF(Data!S72&gt;0,Data!S72,0)+W70</f>
        <v>0</v>
      </c>
      <c r="X71" s="9">
        <f>IF(Data!T72&gt;0,Data!T72,0)+X70</f>
        <v>0</v>
      </c>
      <c r="Y71" s="9">
        <f>IF(Data!U72&gt;0,Data!U72,0)+Y70</f>
        <v>0</v>
      </c>
      <c r="Z71" s="9">
        <f>IF(Data!V72&gt;0,Data!V72,0)+Z70</f>
        <v>0</v>
      </c>
      <c r="AA71" s="9"/>
    </row>
    <row r="72" spans="10:27" x14ac:dyDescent="0.25">
      <c r="J72" s="8">
        <v>46092</v>
      </c>
      <c r="K72" s="9">
        <v>143</v>
      </c>
      <c r="L72" s="9">
        <f>IF(Data!P73-4&gt;0,Data!P73-4,0)+L71</f>
        <v>0</v>
      </c>
      <c r="M72" s="9">
        <f>IF(Data!Q73-4&gt;0,Data!Q73-4,0)+M71</f>
        <v>0</v>
      </c>
      <c r="N72" s="9">
        <f>IF(Data!R73-4&gt;0,Data!R73-4,0)+N71</f>
        <v>0</v>
      </c>
      <c r="O72" s="9">
        <f>IF(Data!S73-4&gt;0,Data!S73-4,0)+O71</f>
        <v>0</v>
      </c>
      <c r="P72" s="9">
        <f>IF(Data!T73-4&gt;0,Data!T73-4,0)+P71</f>
        <v>0</v>
      </c>
      <c r="Q72" s="9">
        <f>IF(Data!U73-4&gt;0,Data!U73-4,0)+Q71</f>
        <v>0</v>
      </c>
      <c r="R72" s="9">
        <f>IF(Data!V73-4&gt;0,Data!V73-4,0)+R71</f>
        <v>0</v>
      </c>
      <c r="S72" s="9"/>
      <c r="T72" s="9">
        <f>IF(Data!P73&gt;0,Data!P73,0)+T71</f>
        <v>0</v>
      </c>
      <c r="U72" s="9">
        <f>IF(Data!Q73&gt;0,Data!Q73,0)+U71</f>
        <v>0</v>
      </c>
      <c r="V72" s="9">
        <f>IF(Data!R73&gt;0,Data!R73,0)+V71</f>
        <v>0</v>
      </c>
      <c r="W72" s="9">
        <f>IF(Data!S73&gt;0,Data!S73,0)+W71</f>
        <v>0</v>
      </c>
      <c r="X72" s="9">
        <f>IF(Data!T73&gt;0,Data!T73,0)+X71</f>
        <v>0</v>
      </c>
      <c r="Y72" s="9">
        <f>IF(Data!U73&gt;0,Data!U73,0)+Y71</f>
        <v>0</v>
      </c>
      <c r="Z72" s="9">
        <f>IF(Data!V73&gt;0,Data!V73,0)+Z71</f>
        <v>0</v>
      </c>
      <c r="AA72" s="9"/>
    </row>
    <row r="73" spans="10:27" x14ac:dyDescent="0.25">
      <c r="J73" s="8">
        <v>46093</v>
      </c>
      <c r="K73" s="9">
        <v>143</v>
      </c>
      <c r="L73" s="9">
        <f>IF(Data!P74-4&gt;0,Data!P74-4,0)+L72</f>
        <v>0</v>
      </c>
      <c r="M73" s="9">
        <f>IF(Data!Q74-4&gt;0,Data!Q74-4,0)+M72</f>
        <v>0</v>
      </c>
      <c r="N73" s="9">
        <f>IF(Data!R74-4&gt;0,Data!R74-4,0)+N72</f>
        <v>0</v>
      </c>
      <c r="O73" s="9">
        <f>IF(Data!S74-4&gt;0,Data!S74-4,0)+O72</f>
        <v>0</v>
      </c>
      <c r="P73" s="9">
        <f>IF(Data!T74-4&gt;0,Data!T74-4,0)+P72</f>
        <v>0</v>
      </c>
      <c r="Q73" s="9">
        <f>IF(Data!U74-4&gt;0,Data!U74-4,0)+Q72</f>
        <v>0</v>
      </c>
      <c r="R73" s="9">
        <f>IF(Data!V74-4&gt;0,Data!V74-4,0)+R72</f>
        <v>0</v>
      </c>
      <c r="S73" s="9"/>
      <c r="T73" s="9">
        <f>IF(Data!P74&gt;0,Data!P74,0)+T72</f>
        <v>0</v>
      </c>
      <c r="U73" s="9">
        <f>IF(Data!Q74&gt;0,Data!Q74,0)+U72</f>
        <v>0</v>
      </c>
      <c r="V73" s="9">
        <f>IF(Data!R74&gt;0,Data!R74,0)+V72</f>
        <v>0</v>
      </c>
      <c r="W73" s="9">
        <f>IF(Data!S74&gt;0,Data!S74,0)+W72</f>
        <v>0</v>
      </c>
      <c r="X73" s="9">
        <f>IF(Data!T74&gt;0,Data!T74,0)+X72</f>
        <v>0</v>
      </c>
      <c r="Y73" s="9">
        <f>IF(Data!U74&gt;0,Data!U74,0)+Y72</f>
        <v>0</v>
      </c>
      <c r="Z73" s="9">
        <f>IF(Data!V74&gt;0,Data!V74,0)+Z72</f>
        <v>0</v>
      </c>
      <c r="AA73" s="9"/>
    </row>
    <row r="74" spans="10:27" x14ac:dyDescent="0.25">
      <c r="J74" s="8">
        <v>46094</v>
      </c>
      <c r="K74" s="9">
        <v>143</v>
      </c>
      <c r="L74" s="9">
        <f>IF(Data!P75-4&gt;0,Data!P75-4,0)+L73</f>
        <v>0</v>
      </c>
      <c r="M74" s="9">
        <f>IF(Data!Q75-4&gt;0,Data!Q75-4,0)+M73</f>
        <v>0</v>
      </c>
      <c r="N74" s="9">
        <f>IF(Data!R75-4&gt;0,Data!R75-4,0)+N73</f>
        <v>0</v>
      </c>
      <c r="O74" s="9">
        <f>IF(Data!S75-4&gt;0,Data!S75-4,0)+O73</f>
        <v>0</v>
      </c>
      <c r="P74" s="9">
        <f>IF(Data!T75-4&gt;0,Data!T75-4,0)+P73</f>
        <v>0</v>
      </c>
      <c r="Q74" s="9">
        <f>IF(Data!U75-4&gt;0,Data!U75-4,0)+Q73</f>
        <v>0</v>
      </c>
      <c r="R74" s="9">
        <f>IF(Data!V75-4&gt;0,Data!V75-4,0)+R73</f>
        <v>0</v>
      </c>
      <c r="S74" s="9"/>
      <c r="T74" s="9">
        <f>IF(Data!P75&gt;0,Data!P75,0)+T73</f>
        <v>0</v>
      </c>
      <c r="U74" s="9">
        <f>IF(Data!Q75&gt;0,Data!Q75,0)+U73</f>
        <v>0</v>
      </c>
      <c r="V74" s="9">
        <f>IF(Data!R75&gt;0,Data!R75,0)+V73</f>
        <v>0</v>
      </c>
      <c r="W74" s="9">
        <f>IF(Data!S75&gt;0,Data!S75,0)+W73</f>
        <v>0</v>
      </c>
      <c r="X74" s="9">
        <f>IF(Data!T75&gt;0,Data!T75,0)+X73</f>
        <v>0</v>
      </c>
      <c r="Y74" s="9">
        <f>IF(Data!U75&gt;0,Data!U75,0)+Y73</f>
        <v>0</v>
      </c>
      <c r="Z74" s="9">
        <f>IF(Data!V75&gt;0,Data!V75,0)+Z73</f>
        <v>0</v>
      </c>
      <c r="AA74" s="9"/>
    </row>
    <row r="75" spans="10:27" x14ac:dyDescent="0.25">
      <c r="J75" s="8">
        <v>46095</v>
      </c>
      <c r="K75" s="9">
        <v>143</v>
      </c>
      <c r="L75" s="9">
        <f>IF(Data!P76-4&gt;0,Data!P76-4,0)+L74</f>
        <v>0</v>
      </c>
      <c r="M75" s="9">
        <f>IF(Data!Q76-4&gt;0,Data!Q76-4,0)+M74</f>
        <v>0</v>
      </c>
      <c r="N75" s="9">
        <f>IF(Data!R76-4&gt;0,Data!R76-4,0)+N74</f>
        <v>0</v>
      </c>
      <c r="O75" s="9">
        <f>IF(Data!S76-4&gt;0,Data!S76-4,0)+O74</f>
        <v>0</v>
      </c>
      <c r="P75" s="9">
        <f>IF(Data!T76-4&gt;0,Data!T76-4,0)+P74</f>
        <v>0</v>
      </c>
      <c r="Q75" s="9">
        <f>IF(Data!U76-4&gt;0,Data!U76-4,0)+Q74</f>
        <v>0</v>
      </c>
      <c r="R75" s="9">
        <f>IF(Data!V76-4&gt;0,Data!V76-4,0)+R74</f>
        <v>0</v>
      </c>
      <c r="S75" s="9"/>
      <c r="T75" s="9">
        <f>IF(Data!P76&gt;0,Data!P76,0)+T74</f>
        <v>0</v>
      </c>
      <c r="U75" s="9">
        <f>IF(Data!Q76&gt;0,Data!Q76,0)+U74</f>
        <v>0</v>
      </c>
      <c r="V75" s="9">
        <f>IF(Data!R76&gt;0,Data!R76,0)+V74</f>
        <v>0</v>
      </c>
      <c r="W75" s="9">
        <f>IF(Data!S76&gt;0,Data!S76,0)+W74</f>
        <v>0</v>
      </c>
      <c r="X75" s="9">
        <f>IF(Data!T76&gt;0,Data!T76,0)+X74</f>
        <v>0</v>
      </c>
      <c r="Y75" s="9">
        <f>IF(Data!U76&gt;0,Data!U76,0)+Y74</f>
        <v>0</v>
      </c>
      <c r="Z75" s="9">
        <f>IF(Data!V76&gt;0,Data!V76,0)+Z74</f>
        <v>0</v>
      </c>
      <c r="AA75" s="9"/>
    </row>
    <row r="76" spans="10:27" x14ac:dyDescent="0.25">
      <c r="J76" s="8">
        <v>46096</v>
      </c>
      <c r="K76" s="9">
        <v>143</v>
      </c>
      <c r="L76" s="9">
        <f>IF(Data!P77-4&gt;0,Data!P77-4,0)+L75</f>
        <v>0</v>
      </c>
      <c r="M76" s="9">
        <f>IF(Data!Q77-4&gt;0,Data!Q77-4,0)+M75</f>
        <v>0</v>
      </c>
      <c r="N76" s="9">
        <f>IF(Data!R77-4&gt;0,Data!R77-4,0)+N75</f>
        <v>0</v>
      </c>
      <c r="O76" s="9">
        <f>IF(Data!S77-4&gt;0,Data!S77-4,0)+O75</f>
        <v>0</v>
      </c>
      <c r="P76" s="9">
        <f>IF(Data!T77-4&gt;0,Data!T77-4,0)+P75</f>
        <v>0</v>
      </c>
      <c r="Q76" s="9">
        <f>IF(Data!U77-4&gt;0,Data!U77-4,0)+Q75</f>
        <v>0</v>
      </c>
      <c r="R76" s="9">
        <f>IF(Data!V77-4&gt;0,Data!V77-4,0)+R75</f>
        <v>0</v>
      </c>
      <c r="S76" s="9"/>
      <c r="T76" s="9">
        <f>IF(Data!P77&gt;0,Data!P77,0)+T75</f>
        <v>0</v>
      </c>
      <c r="U76" s="9">
        <f>IF(Data!Q77&gt;0,Data!Q77,0)+U75</f>
        <v>0</v>
      </c>
      <c r="V76" s="9">
        <f>IF(Data!R77&gt;0,Data!R77,0)+V75</f>
        <v>0</v>
      </c>
      <c r="W76" s="9">
        <f>IF(Data!S77&gt;0,Data!S77,0)+W75</f>
        <v>0</v>
      </c>
      <c r="X76" s="9">
        <f>IF(Data!T77&gt;0,Data!T77,0)+X75</f>
        <v>0</v>
      </c>
      <c r="Y76" s="9">
        <f>IF(Data!U77&gt;0,Data!U77,0)+Y75</f>
        <v>0</v>
      </c>
      <c r="Z76" s="9">
        <f>IF(Data!V77&gt;0,Data!V77,0)+Z75</f>
        <v>0</v>
      </c>
      <c r="AA76" s="9"/>
    </row>
    <row r="77" spans="10:27" x14ac:dyDescent="0.25">
      <c r="J77" s="8">
        <v>46097</v>
      </c>
      <c r="K77" s="9">
        <v>143</v>
      </c>
      <c r="L77" s="9">
        <f>IF(Data!P78-4&gt;0,Data!P78-4,0)+L76</f>
        <v>0</v>
      </c>
      <c r="M77" s="9">
        <f>IF(Data!Q78-4&gt;0,Data!Q78-4,0)+M76</f>
        <v>0</v>
      </c>
      <c r="N77" s="9">
        <f>IF(Data!R78-4&gt;0,Data!R78-4,0)+N76</f>
        <v>0</v>
      </c>
      <c r="O77" s="9">
        <f>IF(Data!S78-4&gt;0,Data!S78-4,0)+O76</f>
        <v>0</v>
      </c>
      <c r="P77" s="9">
        <f>IF(Data!T78-4&gt;0,Data!T78-4,0)+P76</f>
        <v>0</v>
      </c>
      <c r="Q77" s="9">
        <f>IF(Data!U78-4&gt;0,Data!U78-4,0)+Q76</f>
        <v>0</v>
      </c>
      <c r="R77" s="9">
        <f>IF(Data!V78-4&gt;0,Data!V78-4,0)+R76</f>
        <v>0</v>
      </c>
      <c r="S77" s="9"/>
      <c r="T77" s="9">
        <f>IF(Data!P78&gt;0,Data!P78,0)+T76</f>
        <v>0</v>
      </c>
      <c r="U77" s="9">
        <f>IF(Data!Q78&gt;0,Data!Q78,0)+U76</f>
        <v>0</v>
      </c>
      <c r="V77" s="9">
        <f>IF(Data!R78&gt;0,Data!R78,0)+V76</f>
        <v>0</v>
      </c>
      <c r="W77" s="9">
        <f>IF(Data!S78&gt;0,Data!S78,0)+W76</f>
        <v>0</v>
      </c>
      <c r="X77" s="9">
        <f>IF(Data!T78&gt;0,Data!T78,0)+X76</f>
        <v>0</v>
      </c>
      <c r="Y77" s="9">
        <f>IF(Data!U78&gt;0,Data!U78,0)+Y76</f>
        <v>0</v>
      </c>
      <c r="Z77" s="9">
        <f>IF(Data!V78&gt;0,Data!V78,0)+Z76</f>
        <v>0</v>
      </c>
      <c r="AA77" s="9"/>
    </row>
    <row r="78" spans="10:27" x14ac:dyDescent="0.25">
      <c r="J78" s="8">
        <v>46098</v>
      </c>
      <c r="K78" s="9">
        <v>143</v>
      </c>
      <c r="L78" s="9">
        <f>IF(Data!P79-4&gt;0,Data!P79-4,0)+L77</f>
        <v>0</v>
      </c>
      <c r="M78" s="9">
        <f>IF(Data!Q79-4&gt;0,Data!Q79-4,0)+M77</f>
        <v>0</v>
      </c>
      <c r="N78" s="9">
        <f>IF(Data!R79-4&gt;0,Data!R79-4,0)+N77</f>
        <v>0</v>
      </c>
      <c r="O78" s="9">
        <f>IF(Data!S79-4&gt;0,Data!S79-4,0)+O77</f>
        <v>0</v>
      </c>
      <c r="P78" s="9">
        <f>IF(Data!T79-4&gt;0,Data!T79-4,0)+P77</f>
        <v>0</v>
      </c>
      <c r="Q78" s="9">
        <f>IF(Data!U79-4&gt;0,Data!U79-4,0)+Q77</f>
        <v>0</v>
      </c>
      <c r="R78" s="9">
        <f>IF(Data!V79-4&gt;0,Data!V79-4,0)+R77</f>
        <v>0</v>
      </c>
      <c r="S78" s="9"/>
      <c r="T78" s="9">
        <f>IF(Data!P79&gt;0,Data!P79,0)+T77</f>
        <v>0</v>
      </c>
      <c r="U78" s="9">
        <f>IF(Data!Q79&gt;0,Data!Q79,0)+U77</f>
        <v>0</v>
      </c>
      <c r="V78" s="9">
        <f>IF(Data!R79&gt;0,Data!R79,0)+V77</f>
        <v>0</v>
      </c>
      <c r="W78" s="9">
        <f>IF(Data!S79&gt;0,Data!S79,0)+W77</f>
        <v>0</v>
      </c>
      <c r="X78" s="9">
        <f>IF(Data!T79&gt;0,Data!T79,0)+X77</f>
        <v>0</v>
      </c>
      <c r="Y78" s="9">
        <f>IF(Data!U79&gt;0,Data!U79,0)+Y77</f>
        <v>0</v>
      </c>
      <c r="Z78" s="9">
        <f>IF(Data!V79&gt;0,Data!V79,0)+Z77</f>
        <v>0</v>
      </c>
      <c r="AA78" s="9"/>
    </row>
    <row r="79" spans="10:27" x14ac:dyDescent="0.25">
      <c r="J79" s="8">
        <v>46099</v>
      </c>
      <c r="K79" s="9">
        <v>143</v>
      </c>
      <c r="L79" s="9">
        <f>IF(Data!P80-4&gt;0,Data!P80-4,0)+L78</f>
        <v>0</v>
      </c>
      <c r="M79" s="9">
        <f>IF(Data!Q80-4&gt;0,Data!Q80-4,0)+M78</f>
        <v>0</v>
      </c>
      <c r="N79" s="9">
        <f>IF(Data!R80-4&gt;0,Data!R80-4,0)+N78</f>
        <v>0</v>
      </c>
      <c r="O79" s="9">
        <f>IF(Data!S80-4&gt;0,Data!S80-4,0)+O78</f>
        <v>0</v>
      </c>
      <c r="P79" s="9">
        <f>IF(Data!T80-4&gt;0,Data!T80-4,0)+P78</f>
        <v>0</v>
      </c>
      <c r="Q79" s="9">
        <f>IF(Data!U80-4&gt;0,Data!U80-4,0)+Q78</f>
        <v>0</v>
      </c>
      <c r="R79" s="9">
        <f>IF(Data!V80-4&gt;0,Data!V80-4,0)+R78</f>
        <v>0</v>
      </c>
      <c r="S79" s="9"/>
      <c r="T79" s="9">
        <f>IF(Data!P80&gt;0,Data!P80,0)+T78</f>
        <v>0</v>
      </c>
      <c r="U79" s="9">
        <f>IF(Data!Q80&gt;0,Data!Q80,0)+U78</f>
        <v>0</v>
      </c>
      <c r="V79" s="9">
        <f>IF(Data!R80&gt;0,Data!R80,0)+V78</f>
        <v>0</v>
      </c>
      <c r="W79" s="9">
        <f>IF(Data!S80&gt;0,Data!S80,0)+W78</f>
        <v>0</v>
      </c>
      <c r="X79" s="9">
        <f>IF(Data!T80&gt;0,Data!T80,0)+X78</f>
        <v>0</v>
      </c>
      <c r="Y79" s="9">
        <f>IF(Data!U80&gt;0,Data!U80,0)+Y78</f>
        <v>0</v>
      </c>
      <c r="Z79" s="9">
        <f>IF(Data!V80&gt;0,Data!V80,0)+Z78</f>
        <v>0</v>
      </c>
      <c r="AA79" s="9"/>
    </row>
    <row r="80" spans="10:27" x14ac:dyDescent="0.25">
      <c r="J80" s="8">
        <v>46100</v>
      </c>
      <c r="K80" s="9">
        <v>143</v>
      </c>
      <c r="L80" s="9">
        <f>IF(Data!P81-4&gt;0,Data!P81-4,0)+L79</f>
        <v>0</v>
      </c>
      <c r="M80" s="9">
        <f>IF(Data!Q81-4&gt;0,Data!Q81-4,0)+M79</f>
        <v>0</v>
      </c>
      <c r="N80" s="9">
        <f>IF(Data!R81-4&gt;0,Data!R81-4,0)+N79</f>
        <v>0</v>
      </c>
      <c r="O80" s="9">
        <f>IF(Data!S81-4&gt;0,Data!S81-4,0)+O79</f>
        <v>0</v>
      </c>
      <c r="P80" s="9">
        <f>IF(Data!T81-4&gt;0,Data!T81-4,0)+P79</f>
        <v>0</v>
      </c>
      <c r="Q80" s="9">
        <f>IF(Data!U81-4&gt;0,Data!U81-4,0)+Q79</f>
        <v>0</v>
      </c>
      <c r="R80" s="9">
        <f>IF(Data!V81-4&gt;0,Data!V81-4,0)+R79</f>
        <v>0</v>
      </c>
      <c r="S80" s="9"/>
      <c r="T80" s="9">
        <f>IF(Data!P81&gt;0,Data!P81,0)+T79</f>
        <v>0</v>
      </c>
      <c r="U80" s="9">
        <f>IF(Data!Q81&gt;0,Data!Q81,0)+U79</f>
        <v>0</v>
      </c>
      <c r="V80" s="9">
        <f>IF(Data!R81&gt;0,Data!R81,0)+V79</f>
        <v>0</v>
      </c>
      <c r="W80" s="9">
        <f>IF(Data!S81&gt;0,Data!S81,0)+W79</f>
        <v>0</v>
      </c>
      <c r="X80" s="9">
        <f>IF(Data!T81&gt;0,Data!T81,0)+X79</f>
        <v>0</v>
      </c>
      <c r="Y80" s="9">
        <f>IF(Data!U81&gt;0,Data!U81,0)+Y79</f>
        <v>0</v>
      </c>
      <c r="Z80" s="9">
        <f>IF(Data!V81&gt;0,Data!V81,0)+Z79</f>
        <v>0</v>
      </c>
      <c r="AA80" s="9"/>
    </row>
    <row r="81" spans="10:27" x14ac:dyDescent="0.25">
      <c r="J81" s="8">
        <v>46101</v>
      </c>
      <c r="K81" s="9">
        <v>143</v>
      </c>
      <c r="L81" s="9">
        <f>IF(Data!P82-4&gt;0,Data!P82-4,0)+L80</f>
        <v>0</v>
      </c>
      <c r="M81" s="9">
        <f>IF(Data!Q82-4&gt;0,Data!Q82-4,0)+M80</f>
        <v>0</v>
      </c>
      <c r="N81" s="9">
        <f>IF(Data!R82-4&gt;0,Data!R82-4,0)+N80</f>
        <v>0</v>
      </c>
      <c r="O81" s="9">
        <f>IF(Data!S82-4&gt;0,Data!S82-4,0)+O80</f>
        <v>0</v>
      </c>
      <c r="P81" s="9">
        <f>IF(Data!T82-4&gt;0,Data!T82-4,0)+P80</f>
        <v>0</v>
      </c>
      <c r="Q81" s="9">
        <f>IF(Data!U82-4&gt;0,Data!U82-4,0)+Q80</f>
        <v>0</v>
      </c>
      <c r="R81" s="9">
        <f>IF(Data!V82-4&gt;0,Data!V82-4,0)+R80</f>
        <v>0</v>
      </c>
      <c r="S81" s="9"/>
      <c r="T81" s="9">
        <f>IF(Data!P82&gt;0,Data!P82,0)+T80</f>
        <v>0</v>
      </c>
      <c r="U81" s="9">
        <f>IF(Data!Q82&gt;0,Data!Q82,0)+U80</f>
        <v>0</v>
      </c>
      <c r="V81" s="9">
        <f>IF(Data!R82&gt;0,Data!R82,0)+V80</f>
        <v>0</v>
      </c>
      <c r="W81" s="9">
        <f>IF(Data!S82&gt;0,Data!S82,0)+W80</f>
        <v>0</v>
      </c>
      <c r="X81" s="9">
        <f>IF(Data!T82&gt;0,Data!T82,0)+X80</f>
        <v>0</v>
      </c>
      <c r="Y81" s="9">
        <f>IF(Data!U82&gt;0,Data!U82,0)+Y80</f>
        <v>0</v>
      </c>
      <c r="Z81" s="9">
        <f>IF(Data!V82&gt;0,Data!V82,0)+Z80</f>
        <v>0</v>
      </c>
      <c r="AA81" s="9"/>
    </row>
    <row r="82" spans="10:27" x14ac:dyDescent="0.25">
      <c r="J82" s="8">
        <v>46102</v>
      </c>
      <c r="K82" s="9">
        <v>143</v>
      </c>
      <c r="L82" s="9">
        <f>IF(Data!P83-4&gt;0,Data!P83-4,0)+L81</f>
        <v>0</v>
      </c>
      <c r="M82" s="9">
        <f>IF(Data!Q83-4&gt;0,Data!Q83-4,0)+M81</f>
        <v>0</v>
      </c>
      <c r="N82" s="9">
        <f>IF(Data!R83-4&gt;0,Data!R83-4,0)+N81</f>
        <v>0</v>
      </c>
      <c r="O82" s="9">
        <f>IF(Data!S83-4&gt;0,Data!S83-4,0)+O81</f>
        <v>0</v>
      </c>
      <c r="P82" s="9">
        <f>IF(Data!T83-4&gt;0,Data!T83-4,0)+P81</f>
        <v>0</v>
      </c>
      <c r="Q82" s="9">
        <f>IF(Data!U83-4&gt;0,Data!U83-4,0)+Q81</f>
        <v>0</v>
      </c>
      <c r="R82" s="9">
        <f>IF(Data!V83-4&gt;0,Data!V83-4,0)+R81</f>
        <v>0</v>
      </c>
      <c r="S82" s="9"/>
      <c r="T82" s="9">
        <f>IF(Data!P83&gt;0,Data!P83,0)+T81</f>
        <v>0</v>
      </c>
      <c r="U82" s="9">
        <f>IF(Data!Q83&gt;0,Data!Q83,0)+U81</f>
        <v>0</v>
      </c>
      <c r="V82" s="9">
        <f>IF(Data!R83&gt;0,Data!R83,0)+V81</f>
        <v>0</v>
      </c>
      <c r="W82" s="9">
        <f>IF(Data!S83&gt;0,Data!S83,0)+W81</f>
        <v>0</v>
      </c>
      <c r="X82" s="9">
        <f>IF(Data!T83&gt;0,Data!T83,0)+X81</f>
        <v>0</v>
      </c>
      <c r="Y82" s="9">
        <f>IF(Data!U83&gt;0,Data!U83,0)+Y81</f>
        <v>0</v>
      </c>
      <c r="Z82" s="9">
        <f>IF(Data!V83&gt;0,Data!V83,0)+Z81</f>
        <v>0</v>
      </c>
      <c r="AA82" s="9"/>
    </row>
    <row r="83" spans="10:27" x14ac:dyDescent="0.25">
      <c r="J83" s="8">
        <v>46103</v>
      </c>
      <c r="K83" s="9">
        <v>143</v>
      </c>
      <c r="L83" s="9">
        <f>IF(Data!P84-4&gt;0,Data!P84-4,0)+L82</f>
        <v>0</v>
      </c>
      <c r="M83" s="9">
        <f>IF(Data!Q84-4&gt;0,Data!Q84-4,0)+M82</f>
        <v>0</v>
      </c>
      <c r="N83" s="9">
        <f>IF(Data!R84-4&gt;0,Data!R84-4,0)+N82</f>
        <v>0</v>
      </c>
      <c r="O83" s="9">
        <f>IF(Data!S84-4&gt;0,Data!S84-4,0)+O82</f>
        <v>0</v>
      </c>
      <c r="P83" s="9">
        <f>IF(Data!T84-4&gt;0,Data!T84-4,0)+P82</f>
        <v>0</v>
      </c>
      <c r="Q83" s="9">
        <f>IF(Data!U84-4&gt;0,Data!U84-4,0)+Q82</f>
        <v>0</v>
      </c>
      <c r="R83" s="9">
        <f>IF(Data!V84-4&gt;0,Data!V84-4,0)+R82</f>
        <v>0</v>
      </c>
      <c r="S83" s="9"/>
      <c r="T83" s="9">
        <f>IF(Data!P84&gt;0,Data!P84,0)+T82</f>
        <v>0</v>
      </c>
      <c r="U83" s="9">
        <f>IF(Data!Q84&gt;0,Data!Q84,0)+U82</f>
        <v>0</v>
      </c>
      <c r="V83" s="9">
        <f>IF(Data!R84&gt;0,Data!R84,0)+V82</f>
        <v>0</v>
      </c>
      <c r="W83" s="9">
        <f>IF(Data!S84&gt;0,Data!S84,0)+W82</f>
        <v>0</v>
      </c>
      <c r="X83" s="9">
        <f>IF(Data!T84&gt;0,Data!T84,0)+X82</f>
        <v>0</v>
      </c>
      <c r="Y83" s="9">
        <f>IF(Data!U84&gt;0,Data!U84,0)+Y82</f>
        <v>0</v>
      </c>
      <c r="Z83" s="9">
        <f>IF(Data!V84&gt;0,Data!V84,0)+Z82</f>
        <v>0</v>
      </c>
      <c r="AA83" s="9"/>
    </row>
    <row r="84" spans="10:27" x14ac:dyDescent="0.25">
      <c r="J84" s="8">
        <v>46104</v>
      </c>
      <c r="K84" s="9">
        <v>143</v>
      </c>
      <c r="L84" s="9">
        <f>IF(Data!P85-4&gt;0,Data!P85-4,0)+L83</f>
        <v>0</v>
      </c>
      <c r="M84" s="9">
        <f>IF(Data!Q85-4&gt;0,Data!Q85-4,0)+M83</f>
        <v>0</v>
      </c>
      <c r="N84" s="9">
        <f>IF(Data!R85-4&gt;0,Data!R85-4,0)+N83</f>
        <v>0</v>
      </c>
      <c r="O84" s="9">
        <f>IF(Data!S85-4&gt;0,Data!S85-4,0)+O83</f>
        <v>0</v>
      </c>
      <c r="P84" s="9">
        <f>IF(Data!T85-4&gt;0,Data!T85-4,0)+P83</f>
        <v>0</v>
      </c>
      <c r="Q84" s="9">
        <f>IF(Data!U85-4&gt;0,Data!U85-4,0)+Q83</f>
        <v>0</v>
      </c>
      <c r="R84" s="9">
        <f>IF(Data!V85-4&gt;0,Data!V85-4,0)+R83</f>
        <v>0</v>
      </c>
      <c r="S84" s="9"/>
      <c r="T84" s="9">
        <f>IF(Data!P85&gt;0,Data!P85,0)+T83</f>
        <v>0</v>
      </c>
      <c r="U84" s="9">
        <f>IF(Data!Q85&gt;0,Data!Q85,0)+U83</f>
        <v>0</v>
      </c>
      <c r="V84" s="9">
        <f>IF(Data!R85&gt;0,Data!R85,0)+V83</f>
        <v>0</v>
      </c>
      <c r="W84" s="9">
        <f>IF(Data!S85&gt;0,Data!S85,0)+W83</f>
        <v>0</v>
      </c>
      <c r="X84" s="9">
        <f>IF(Data!T85&gt;0,Data!T85,0)+X83</f>
        <v>0</v>
      </c>
      <c r="Y84" s="9">
        <f>IF(Data!U85&gt;0,Data!U85,0)+Y83</f>
        <v>0</v>
      </c>
      <c r="Z84" s="9">
        <f>IF(Data!V85&gt;0,Data!V85,0)+Z83</f>
        <v>0</v>
      </c>
      <c r="AA84" s="9"/>
    </row>
    <row r="85" spans="10:27" x14ac:dyDescent="0.25">
      <c r="J85" s="8">
        <v>46105</v>
      </c>
      <c r="K85" s="9">
        <v>143</v>
      </c>
      <c r="L85" s="9">
        <f>IF(Data!P86-4&gt;0,Data!P86-4,0)+L84</f>
        <v>0</v>
      </c>
      <c r="M85" s="9">
        <f>IF(Data!Q86-4&gt;0,Data!Q86-4,0)+M84</f>
        <v>0</v>
      </c>
      <c r="N85" s="9">
        <f>IF(Data!R86-4&gt;0,Data!R86-4,0)+N84</f>
        <v>0</v>
      </c>
      <c r="O85" s="9">
        <f>IF(Data!S86-4&gt;0,Data!S86-4,0)+O84</f>
        <v>0</v>
      </c>
      <c r="P85" s="9">
        <f>IF(Data!T86-4&gt;0,Data!T86-4,0)+P84</f>
        <v>0</v>
      </c>
      <c r="Q85" s="9">
        <f>IF(Data!U86-4&gt;0,Data!U86-4,0)+Q84</f>
        <v>0</v>
      </c>
      <c r="R85" s="9">
        <f>IF(Data!V86-4&gt;0,Data!V86-4,0)+R84</f>
        <v>0</v>
      </c>
      <c r="S85" s="9"/>
      <c r="T85" s="9">
        <f>IF(Data!P86&gt;0,Data!P86,0)+T84</f>
        <v>0</v>
      </c>
      <c r="U85" s="9">
        <f>IF(Data!Q86&gt;0,Data!Q86,0)+U84</f>
        <v>0</v>
      </c>
      <c r="V85" s="9">
        <f>IF(Data!R86&gt;0,Data!R86,0)+V84</f>
        <v>0</v>
      </c>
      <c r="W85" s="9">
        <f>IF(Data!S86&gt;0,Data!S86,0)+W84</f>
        <v>0</v>
      </c>
      <c r="X85" s="9">
        <f>IF(Data!T86&gt;0,Data!T86,0)+X84</f>
        <v>0</v>
      </c>
      <c r="Y85" s="9">
        <f>IF(Data!U86&gt;0,Data!U86,0)+Y84</f>
        <v>0</v>
      </c>
      <c r="Z85" s="9">
        <f>IF(Data!V86&gt;0,Data!V86,0)+Z84</f>
        <v>0</v>
      </c>
      <c r="AA85" s="9"/>
    </row>
    <row r="86" spans="10:27" x14ac:dyDescent="0.25">
      <c r="J86" s="8">
        <v>46106</v>
      </c>
      <c r="K86" s="9">
        <v>143</v>
      </c>
      <c r="L86" s="9">
        <f>IF(Data!P87-4&gt;0,Data!P87-4,0)+L85</f>
        <v>0</v>
      </c>
      <c r="M86" s="9">
        <f>IF(Data!Q87-4&gt;0,Data!Q87-4,0)+M85</f>
        <v>0</v>
      </c>
      <c r="N86" s="9">
        <f>IF(Data!R87-4&gt;0,Data!R87-4,0)+N85</f>
        <v>0</v>
      </c>
      <c r="O86" s="9">
        <f>IF(Data!S87-4&gt;0,Data!S87-4,0)+O85</f>
        <v>0</v>
      </c>
      <c r="P86" s="9">
        <f>IF(Data!T87-4&gt;0,Data!T87-4,0)+P85</f>
        <v>0</v>
      </c>
      <c r="Q86" s="9">
        <f>IF(Data!U87-4&gt;0,Data!U87-4,0)+Q85</f>
        <v>0</v>
      </c>
      <c r="R86" s="9">
        <f>IF(Data!V87-4&gt;0,Data!V87-4,0)+R85</f>
        <v>0</v>
      </c>
      <c r="S86" s="9"/>
      <c r="T86" s="9">
        <f>IF(Data!P87&gt;0,Data!P87,0)+T85</f>
        <v>0</v>
      </c>
      <c r="U86" s="9">
        <f>IF(Data!Q87&gt;0,Data!Q87,0)+U85</f>
        <v>0</v>
      </c>
      <c r="V86" s="9">
        <f>IF(Data!R87&gt;0,Data!R87,0)+V85</f>
        <v>0</v>
      </c>
      <c r="W86" s="9">
        <f>IF(Data!S87&gt;0,Data!S87,0)+W85</f>
        <v>0</v>
      </c>
      <c r="X86" s="9">
        <f>IF(Data!T87&gt;0,Data!T87,0)+X85</f>
        <v>0</v>
      </c>
      <c r="Y86" s="9">
        <f>IF(Data!U87&gt;0,Data!U87,0)+Y85</f>
        <v>0</v>
      </c>
      <c r="Z86" s="9">
        <f>IF(Data!V87&gt;0,Data!V87,0)+Z85</f>
        <v>0</v>
      </c>
      <c r="AA86" s="9"/>
    </row>
    <row r="87" spans="10:27" x14ac:dyDescent="0.25">
      <c r="J87" s="8">
        <v>46107</v>
      </c>
      <c r="K87" s="9">
        <v>143</v>
      </c>
      <c r="L87" s="9">
        <f>IF(Data!P88-4&gt;0,Data!P88-4,0)+L86</f>
        <v>0</v>
      </c>
      <c r="M87" s="9">
        <f>IF(Data!Q88-4&gt;0,Data!Q88-4,0)+M86</f>
        <v>0</v>
      </c>
      <c r="N87" s="9">
        <f>IF(Data!R88-4&gt;0,Data!R88-4,0)+N86</f>
        <v>0</v>
      </c>
      <c r="O87" s="9">
        <f>IF(Data!S88-4&gt;0,Data!S88-4,0)+O86</f>
        <v>0</v>
      </c>
      <c r="P87" s="9">
        <f>IF(Data!T88-4&gt;0,Data!T88-4,0)+P86</f>
        <v>0</v>
      </c>
      <c r="Q87" s="9">
        <f>IF(Data!U88-4&gt;0,Data!U88-4,0)+Q86</f>
        <v>0</v>
      </c>
      <c r="R87" s="9">
        <f>IF(Data!V88-4&gt;0,Data!V88-4,0)+R86</f>
        <v>0</v>
      </c>
      <c r="S87" s="9"/>
      <c r="T87" s="9">
        <f>IF(Data!P88&gt;0,Data!P88,0)+T86</f>
        <v>0</v>
      </c>
      <c r="U87" s="9">
        <f>IF(Data!Q88&gt;0,Data!Q88,0)+U86</f>
        <v>0</v>
      </c>
      <c r="V87" s="9">
        <f>IF(Data!R88&gt;0,Data!R88,0)+V86</f>
        <v>0</v>
      </c>
      <c r="W87" s="9">
        <f>IF(Data!S88&gt;0,Data!S88,0)+W86</f>
        <v>0</v>
      </c>
      <c r="X87" s="9">
        <f>IF(Data!T88&gt;0,Data!T88,0)+X86</f>
        <v>0</v>
      </c>
      <c r="Y87" s="9">
        <f>IF(Data!U88&gt;0,Data!U88,0)+Y86</f>
        <v>0</v>
      </c>
      <c r="Z87" s="9">
        <f>IF(Data!V88&gt;0,Data!V88,0)+Z86</f>
        <v>0</v>
      </c>
      <c r="AA87" s="9"/>
    </row>
    <row r="88" spans="10:27" x14ac:dyDescent="0.25">
      <c r="J88" s="8">
        <v>46108</v>
      </c>
      <c r="K88" s="9">
        <v>143</v>
      </c>
      <c r="L88" s="9">
        <f>IF(Data!P89-4&gt;0,Data!P89-4,0)+L87</f>
        <v>0</v>
      </c>
      <c r="M88" s="9">
        <f>IF(Data!Q89-4&gt;0,Data!Q89-4,0)+M87</f>
        <v>0</v>
      </c>
      <c r="N88" s="9">
        <f>IF(Data!R89-4&gt;0,Data!R89-4,0)+N87</f>
        <v>0</v>
      </c>
      <c r="O88" s="9">
        <f>IF(Data!S89-4&gt;0,Data!S89-4,0)+O87</f>
        <v>0</v>
      </c>
      <c r="P88" s="9">
        <f>IF(Data!T89-4&gt;0,Data!T89-4,0)+P87</f>
        <v>0</v>
      </c>
      <c r="Q88" s="9">
        <f>IF(Data!U89-4&gt;0,Data!U89-4,0)+Q87</f>
        <v>0</v>
      </c>
      <c r="R88" s="9">
        <f>IF(Data!V89-4&gt;0,Data!V89-4,0)+R87</f>
        <v>0</v>
      </c>
      <c r="S88" s="9"/>
      <c r="T88" s="9">
        <f>IF(Data!P89&gt;0,Data!P89,0)+T87</f>
        <v>0</v>
      </c>
      <c r="U88" s="9">
        <f>IF(Data!Q89&gt;0,Data!Q89,0)+U87</f>
        <v>0</v>
      </c>
      <c r="V88" s="9">
        <f>IF(Data!R89&gt;0,Data!R89,0)+V87</f>
        <v>0</v>
      </c>
      <c r="W88" s="9">
        <f>IF(Data!S89&gt;0,Data!S89,0)+W87</f>
        <v>0</v>
      </c>
      <c r="X88" s="9">
        <f>IF(Data!T89&gt;0,Data!T89,0)+X87</f>
        <v>0</v>
      </c>
      <c r="Y88" s="9">
        <f>IF(Data!U89&gt;0,Data!U89,0)+Y87</f>
        <v>0</v>
      </c>
      <c r="Z88" s="9">
        <f>IF(Data!V89&gt;0,Data!V89,0)+Z87</f>
        <v>0</v>
      </c>
      <c r="AA88" s="9"/>
    </row>
    <row r="89" spans="10:27" x14ac:dyDescent="0.25">
      <c r="J89" s="8">
        <v>46109</v>
      </c>
      <c r="K89" s="9">
        <v>143</v>
      </c>
      <c r="L89" s="9">
        <f>IF(Data!P90-4&gt;0,Data!P90-4,0)+L88</f>
        <v>0</v>
      </c>
      <c r="M89" s="9">
        <f>IF(Data!Q90-4&gt;0,Data!Q90-4,0)+M88</f>
        <v>0</v>
      </c>
      <c r="N89" s="9">
        <f>IF(Data!R90-4&gt;0,Data!R90-4,0)+N88</f>
        <v>0</v>
      </c>
      <c r="O89" s="9">
        <f>IF(Data!S90-4&gt;0,Data!S90-4,0)+O88</f>
        <v>0</v>
      </c>
      <c r="P89" s="9">
        <f>IF(Data!T90-4&gt;0,Data!T90-4,0)+P88</f>
        <v>0</v>
      </c>
      <c r="Q89" s="9">
        <f>IF(Data!U90-4&gt;0,Data!U90-4,0)+Q88</f>
        <v>0</v>
      </c>
      <c r="R89" s="9">
        <f>IF(Data!V90-4&gt;0,Data!V90-4,0)+R88</f>
        <v>0</v>
      </c>
      <c r="S89" s="9"/>
      <c r="T89" s="9">
        <f>IF(Data!P90&gt;0,Data!P90,0)+T88</f>
        <v>0</v>
      </c>
      <c r="U89" s="9">
        <f>IF(Data!Q90&gt;0,Data!Q90,0)+U88</f>
        <v>0</v>
      </c>
      <c r="V89" s="9">
        <f>IF(Data!R90&gt;0,Data!R90,0)+V88</f>
        <v>0</v>
      </c>
      <c r="W89" s="9">
        <f>IF(Data!S90&gt;0,Data!S90,0)+W88</f>
        <v>0</v>
      </c>
      <c r="X89" s="9">
        <f>IF(Data!T90&gt;0,Data!T90,0)+X88</f>
        <v>0</v>
      </c>
      <c r="Y89" s="9">
        <f>IF(Data!U90&gt;0,Data!U90,0)+Y88</f>
        <v>0</v>
      </c>
      <c r="Z89" s="9">
        <f>IF(Data!V90&gt;0,Data!V90,0)+Z88</f>
        <v>0</v>
      </c>
      <c r="AA89" s="9"/>
    </row>
    <row r="90" spans="10:27" x14ac:dyDescent="0.25">
      <c r="J90" s="8">
        <v>46110</v>
      </c>
      <c r="K90" s="9">
        <v>143</v>
      </c>
      <c r="L90" s="9">
        <f>IF(Data!P91-4&gt;0,Data!P91-4,0)+L89</f>
        <v>0</v>
      </c>
      <c r="M90" s="9">
        <f>IF(Data!Q91-4&gt;0,Data!Q91-4,0)+M89</f>
        <v>0</v>
      </c>
      <c r="N90" s="9">
        <f>IF(Data!R91-4&gt;0,Data!R91-4,0)+N89</f>
        <v>0</v>
      </c>
      <c r="O90" s="9">
        <f>IF(Data!S91-4&gt;0,Data!S91-4,0)+O89</f>
        <v>0</v>
      </c>
      <c r="P90" s="9">
        <f>IF(Data!T91-4&gt;0,Data!T91-4,0)+P89</f>
        <v>0</v>
      </c>
      <c r="Q90" s="9">
        <f>IF(Data!U91-4&gt;0,Data!U91-4,0)+Q89</f>
        <v>0</v>
      </c>
      <c r="R90" s="9">
        <f>IF(Data!V91-4&gt;0,Data!V91-4,0)+R89</f>
        <v>0</v>
      </c>
      <c r="S90" s="9"/>
      <c r="T90" s="9">
        <f>IF(Data!P91&gt;0,Data!P91,0)+T89</f>
        <v>0</v>
      </c>
      <c r="U90" s="9">
        <f>IF(Data!Q91&gt;0,Data!Q91,0)+U89</f>
        <v>0</v>
      </c>
      <c r="V90" s="9">
        <f>IF(Data!R91&gt;0,Data!R91,0)+V89</f>
        <v>0</v>
      </c>
      <c r="W90" s="9">
        <f>IF(Data!S91&gt;0,Data!S91,0)+W89</f>
        <v>0</v>
      </c>
      <c r="X90" s="9">
        <f>IF(Data!T91&gt;0,Data!T91,0)+X89</f>
        <v>0</v>
      </c>
      <c r="Y90" s="9">
        <f>IF(Data!U91&gt;0,Data!U91,0)+Y89</f>
        <v>0</v>
      </c>
      <c r="Z90" s="9">
        <f>IF(Data!V91&gt;0,Data!V91,0)+Z89</f>
        <v>0</v>
      </c>
      <c r="AA90" s="9"/>
    </row>
    <row r="91" spans="10:27" x14ac:dyDescent="0.25">
      <c r="J91" s="8">
        <v>46111</v>
      </c>
      <c r="K91" s="9">
        <v>143</v>
      </c>
      <c r="L91" s="9">
        <f>IF(Data!P92-4&gt;0,Data!P92-4,0)+L90</f>
        <v>0</v>
      </c>
      <c r="M91" s="9">
        <f>IF(Data!Q92-4&gt;0,Data!Q92-4,0)+M90</f>
        <v>0</v>
      </c>
      <c r="N91" s="9">
        <f>IF(Data!R92-4&gt;0,Data!R92-4,0)+N90</f>
        <v>0</v>
      </c>
      <c r="O91" s="9">
        <f>IF(Data!S92-4&gt;0,Data!S92-4,0)+O90</f>
        <v>0</v>
      </c>
      <c r="P91" s="9">
        <f>IF(Data!T92-4&gt;0,Data!T92-4,0)+P90</f>
        <v>0</v>
      </c>
      <c r="Q91" s="9">
        <f>IF(Data!U92-4&gt;0,Data!U92-4,0)+Q90</f>
        <v>0</v>
      </c>
      <c r="R91" s="9">
        <f>IF(Data!V92-4&gt;0,Data!V92-4,0)+R90</f>
        <v>0</v>
      </c>
      <c r="S91" s="9"/>
      <c r="T91" s="9">
        <f>IF(Data!P92&gt;0,Data!P92,0)+T90</f>
        <v>0</v>
      </c>
      <c r="U91" s="9">
        <f>IF(Data!Q92&gt;0,Data!Q92,0)+U90</f>
        <v>0</v>
      </c>
      <c r="V91" s="9">
        <f>IF(Data!R92&gt;0,Data!R92,0)+V90</f>
        <v>0</v>
      </c>
      <c r="W91" s="9">
        <f>IF(Data!S92&gt;0,Data!S92,0)+W90</f>
        <v>0</v>
      </c>
      <c r="X91" s="9">
        <f>IF(Data!T92&gt;0,Data!T92,0)+X90</f>
        <v>0</v>
      </c>
      <c r="Y91" s="9">
        <f>IF(Data!U92&gt;0,Data!U92,0)+Y90</f>
        <v>0</v>
      </c>
      <c r="Z91" s="9">
        <f>IF(Data!V92&gt;0,Data!V92,0)+Z90</f>
        <v>0</v>
      </c>
      <c r="AA91" s="9"/>
    </row>
    <row r="92" spans="10:27" x14ac:dyDescent="0.25">
      <c r="J92" s="8">
        <v>46112</v>
      </c>
      <c r="K92" s="9">
        <v>143</v>
      </c>
      <c r="L92" s="9">
        <f>IF(Data!P93-4&gt;0,Data!P93-4,0)+L91</f>
        <v>0</v>
      </c>
      <c r="M92" s="9">
        <f>IF(Data!Q93-4&gt;0,Data!Q93-4,0)+M91</f>
        <v>0</v>
      </c>
      <c r="N92" s="9">
        <f>IF(Data!R93-4&gt;0,Data!R93-4,0)+N91</f>
        <v>0</v>
      </c>
      <c r="O92" s="9">
        <f>IF(Data!S93-4&gt;0,Data!S93-4,0)+O91</f>
        <v>0</v>
      </c>
      <c r="P92" s="9">
        <f>IF(Data!T93-4&gt;0,Data!T93-4,0)+P91</f>
        <v>0</v>
      </c>
      <c r="Q92" s="9">
        <f>IF(Data!U93-4&gt;0,Data!U93-4,0)+Q91</f>
        <v>0</v>
      </c>
      <c r="R92" s="9">
        <f>IF(Data!V93-4&gt;0,Data!V93-4,0)+R91</f>
        <v>0</v>
      </c>
      <c r="S92" s="9"/>
      <c r="T92" s="9">
        <f>IF(Data!P93&gt;0,Data!P93,0)+T91</f>
        <v>0</v>
      </c>
      <c r="U92" s="9">
        <f>IF(Data!Q93&gt;0,Data!Q93,0)+U91</f>
        <v>0</v>
      </c>
      <c r="V92" s="9">
        <f>IF(Data!R93&gt;0,Data!R93,0)+V91</f>
        <v>0</v>
      </c>
      <c r="W92" s="9">
        <f>IF(Data!S93&gt;0,Data!S93,0)+W91</f>
        <v>0</v>
      </c>
      <c r="X92" s="9">
        <f>IF(Data!T93&gt;0,Data!T93,0)+X91</f>
        <v>0</v>
      </c>
      <c r="Y92" s="9">
        <f>IF(Data!U93&gt;0,Data!U93,0)+Y91</f>
        <v>0</v>
      </c>
      <c r="Z92" s="9">
        <f>IF(Data!V93&gt;0,Data!V93,0)+Z91</f>
        <v>0</v>
      </c>
      <c r="AA92" s="9"/>
    </row>
  </sheetData>
  <conditionalFormatting sqref="B25:H25">
    <cfRule type="cellIs" dxfId="5" priority="2" operator="greaterThan">
      <formula>143</formula>
    </cfRule>
  </conditionalFormatting>
  <conditionalFormatting sqref="B28:H28">
    <cfRule type="cellIs" dxfId="4" priority="1" operator="greaterThan">
      <formula>143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CE6F9-684C-4BC6-8257-FE46A083FAAC}">
  <dimension ref="A1:AA92"/>
  <sheetViews>
    <sheetView zoomScale="80" zoomScaleNormal="80" workbookViewId="0">
      <selection activeCell="H37" sqref="H37"/>
    </sheetView>
  </sheetViews>
  <sheetFormatPr baseColWidth="10" defaultColWidth="11.42578125" defaultRowHeight="15" x14ac:dyDescent="0.25"/>
  <cols>
    <col min="1" max="1" width="12.5703125" customWidth="1"/>
    <col min="10" max="10" width="12.28515625" bestFit="1" customWidth="1"/>
    <col min="11" max="11" width="12.28515625" customWidth="1"/>
    <col min="12" max="12" width="11.42578125" customWidth="1"/>
    <col min="20" max="20" width="11.28515625" customWidth="1"/>
    <col min="21" max="21" width="13.140625" bestFit="1" customWidth="1"/>
  </cols>
  <sheetData>
    <row r="1" spans="10:27" ht="30" x14ac:dyDescent="0.25">
      <c r="J1" s="7" t="s">
        <v>1</v>
      </c>
      <c r="K1" s="7"/>
      <c r="L1" s="7">
        <f>Data!O3</f>
        <v>0</v>
      </c>
      <c r="M1" s="7"/>
      <c r="N1" s="7"/>
      <c r="O1" s="7"/>
      <c r="P1" s="7"/>
      <c r="Q1" s="7"/>
      <c r="R1" s="7"/>
      <c r="S1" s="7"/>
      <c r="T1" s="12">
        <f>L1</f>
        <v>0</v>
      </c>
      <c r="U1" s="12"/>
      <c r="V1" s="12"/>
      <c r="W1" s="12"/>
      <c r="X1" s="12"/>
      <c r="Y1" s="12"/>
      <c r="Z1" s="12"/>
      <c r="AA1" s="12"/>
    </row>
    <row r="2" spans="10:27" x14ac:dyDescent="0.25">
      <c r="J2" s="7" t="s">
        <v>0</v>
      </c>
      <c r="K2" s="7" t="s">
        <v>3</v>
      </c>
      <c r="L2" s="7" t="e">
        <f ca="1">_xlfn.CONCAT(Data!O1," (",Data!O2,")")</f>
        <v>#NAME?</v>
      </c>
      <c r="M2" s="7"/>
      <c r="N2" s="7"/>
      <c r="O2" s="7"/>
      <c r="P2" s="7"/>
      <c r="Q2" s="7"/>
      <c r="R2" s="7"/>
      <c r="S2" s="7"/>
      <c r="T2" s="12" t="e">
        <f ca="1">L2</f>
        <v>#NAME?</v>
      </c>
      <c r="U2" s="12"/>
      <c r="V2" s="12"/>
      <c r="W2" s="12"/>
      <c r="X2" s="12"/>
      <c r="Y2" s="12"/>
      <c r="Z2" s="12"/>
      <c r="AA2" s="12"/>
    </row>
    <row r="3" spans="10:27" x14ac:dyDescent="0.25">
      <c r="J3" s="8">
        <v>46023</v>
      </c>
      <c r="K3" s="9">
        <v>143</v>
      </c>
      <c r="L3" s="9">
        <f>IF(Data!O4-4&gt;0,Data!O4-4,0)</f>
        <v>0</v>
      </c>
      <c r="M3" s="9"/>
      <c r="N3" s="9"/>
      <c r="O3" s="9"/>
      <c r="P3" s="9"/>
      <c r="Q3" s="9"/>
      <c r="R3" s="9"/>
      <c r="S3" s="9"/>
      <c r="T3" s="9">
        <f>IF(Data!O4&gt;0,Data!O4,0)</f>
        <v>0</v>
      </c>
      <c r="U3" s="9"/>
      <c r="V3" s="9"/>
      <c r="W3" s="9"/>
      <c r="X3" s="9"/>
      <c r="Y3" s="9"/>
      <c r="Z3" s="9"/>
      <c r="AA3" s="9"/>
    </row>
    <row r="4" spans="10:27" x14ac:dyDescent="0.25">
      <c r="J4" s="8">
        <v>46024</v>
      </c>
      <c r="K4" s="9">
        <v>143</v>
      </c>
      <c r="L4" s="9">
        <f>IF(Data!O5-4&gt;0,Data!O5-4,0)+L3</f>
        <v>0</v>
      </c>
      <c r="M4" s="9"/>
      <c r="N4" s="9"/>
      <c r="O4" s="9"/>
      <c r="P4" s="9"/>
      <c r="Q4" s="9"/>
      <c r="R4" s="9"/>
      <c r="S4" s="9"/>
      <c r="T4" s="9">
        <f>IF(Data!O5&gt;0,Data!O5,0)+T3</f>
        <v>0</v>
      </c>
      <c r="U4" s="9"/>
      <c r="V4" s="9"/>
      <c r="W4" s="9"/>
      <c r="X4" s="9"/>
      <c r="Y4" s="9"/>
      <c r="Z4" s="9"/>
      <c r="AA4" s="9"/>
    </row>
    <row r="5" spans="10:27" x14ac:dyDescent="0.25">
      <c r="J5" s="8">
        <v>46025</v>
      </c>
      <c r="K5" s="9">
        <v>143</v>
      </c>
      <c r="L5" s="9">
        <f>IF(Data!O6-4&gt;0,Data!O6-4,0)+L4</f>
        <v>0</v>
      </c>
      <c r="M5" s="9"/>
      <c r="N5" s="9"/>
      <c r="O5" s="9"/>
      <c r="P5" s="9"/>
      <c r="Q5" s="9"/>
      <c r="R5" s="9"/>
      <c r="S5" s="9"/>
      <c r="T5" s="9">
        <f>IF(Data!O6&gt;0,Data!O6,0)+T4</f>
        <v>0</v>
      </c>
      <c r="U5" s="9"/>
      <c r="V5" s="9"/>
      <c r="W5" s="9"/>
      <c r="X5" s="9"/>
      <c r="Y5" s="9"/>
      <c r="Z5" s="9"/>
      <c r="AA5" s="9"/>
    </row>
    <row r="6" spans="10:27" x14ac:dyDescent="0.25">
      <c r="J6" s="8">
        <v>46026</v>
      </c>
      <c r="K6" s="9">
        <v>143</v>
      </c>
      <c r="L6" s="9">
        <f>IF(Data!O7-4&gt;0,Data!O7-4,0)+L5</f>
        <v>0</v>
      </c>
      <c r="M6" s="9"/>
      <c r="N6" s="9"/>
      <c r="O6" s="9"/>
      <c r="P6" s="9"/>
      <c r="Q6" s="9"/>
      <c r="R6" s="9"/>
      <c r="S6" s="9"/>
      <c r="T6" s="9">
        <f>IF(Data!O7&gt;0,Data!O7,0)+T5</f>
        <v>0</v>
      </c>
      <c r="U6" s="9"/>
      <c r="V6" s="9"/>
      <c r="W6" s="9"/>
      <c r="X6" s="9"/>
      <c r="Y6" s="9"/>
      <c r="Z6" s="9"/>
      <c r="AA6" s="9"/>
    </row>
    <row r="7" spans="10:27" x14ac:dyDescent="0.25">
      <c r="J7" s="8">
        <v>46027</v>
      </c>
      <c r="K7" s="9">
        <v>143</v>
      </c>
      <c r="L7" s="9">
        <f>IF(Data!O8-4&gt;0,Data!O8-4,0)+L6</f>
        <v>0</v>
      </c>
      <c r="M7" s="9"/>
      <c r="N7" s="9"/>
      <c r="O7" s="9"/>
      <c r="P7" s="9"/>
      <c r="Q7" s="9"/>
      <c r="R7" s="9"/>
      <c r="S7" s="9"/>
      <c r="T7" s="9">
        <f>IF(Data!O8&gt;0,Data!O8,0)+T6</f>
        <v>0</v>
      </c>
      <c r="U7" s="9"/>
      <c r="V7" s="9"/>
      <c r="W7" s="9"/>
      <c r="X7" s="9"/>
      <c r="Y7" s="9"/>
      <c r="Z7" s="9"/>
      <c r="AA7" s="9"/>
    </row>
    <row r="8" spans="10:27" x14ac:dyDescent="0.25">
      <c r="J8" s="8">
        <v>46028</v>
      </c>
      <c r="K8" s="9">
        <v>143</v>
      </c>
      <c r="L8" s="9">
        <f>IF(Data!O9-4&gt;0,Data!O9-4,0)+L7</f>
        <v>0</v>
      </c>
      <c r="M8" s="9"/>
      <c r="N8" s="9"/>
      <c r="O8" s="9"/>
      <c r="P8" s="9"/>
      <c r="Q8" s="9"/>
      <c r="R8" s="9"/>
      <c r="S8" s="9"/>
      <c r="T8" s="9">
        <f>IF(Data!O9&gt;0,Data!O9,0)+T7</f>
        <v>0</v>
      </c>
      <c r="U8" s="9"/>
      <c r="V8" s="9"/>
      <c r="W8" s="9"/>
      <c r="X8" s="9"/>
      <c r="Y8" s="9"/>
      <c r="Z8" s="9"/>
      <c r="AA8" s="9"/>
    </row>
    <row r="9" spans="10:27" x14ac:dyDescent="0.25">
      <c r="J9" s="8">
        <v>46029</v>
      </c>
      <c r="K9" s="9">
        <v>143</v>
      </c>
      <c r="L9" s="9">
        <f>IF(Data!O10-4&gt;0,Data!O10-4,0)+L8</f>
        <v>0</v>
      </c>
      <c r="M9" s="9"/>
      <c r="N9" s="9"/>
      <c r="O9" s="9"/>
      <c r="P9" s="9"/>
      <c r="Q9" s="9"/>
      <c r="R9" s="9"/>
      <c r="S9" s="9"/>
      <c r="T9" s="9">
        <f>IF(Data!O10&gt;0,Data!O10,0)+T8</f>
        <v>0</v>
      </c>
      <c r="U9" s="9"/>
      <c r="V9" s="9"/>
      <c r="W9" s="9"/>
      <c r="X9" s="9"/>
      <c r="Y9" s="9"/>
      <c r="Z9" s="9"/>
      <c r="AA9" s="9"/>
    </row>
    <row r="10" spans="10:27" x14ac:dyDescent="0.25">
      <c r="J10" s="8">
        <v>46030</v>
      </c>
      <c r="K10" s="9">
        <v>143</v>
      </c>
      <c r="L10" s="9">
        <f>IF(Data!O11-4&gt;0,Data!O11-4,0)+L9</f>
        <v>0</v>
      </c>
      <c r="M10" s="9"/>
      <c r="N10" s="9"/>
      <c r="O10" s="9"/>
      <c r="P10" s="9"/>
      <c r="Q10" s="9"/>
      <c r="R10" s="9"/>
      <c r="S10" s="9"/>
      <c r="T10" s="9">
        <f>IF(Data!O11&gt;0,Data!O11,0)+T9</f>
        <v>0</v>
      </c>
      <c r="U10" s="9"/>
      <c r="V10" s="9"/>
      <c r="W10" s="9"/>
      <c r="X10" s="9"/>
      <c r="Y10" s="9"/>
      <c r="Z10" s="9"/>
      <c r="AA10" s="9"/>
    </row>
    <row r="11" spans="10:27" x14ac:dyDescent="0.25">
      <c r="J11" s="8">
        <v>46031</v>
      </c>
      <c r="K11" s="9">
        <v>143</v>
      </c>
      <c r="L11" s="9">
        <f>IF(Data!O12-4&gt;0,Data!O12-4,0)+L10</f>
        <v>0</v>
      </c>
      <c r="M11" s="9"/>
      <c r="N11" s="9"/>
      <c r="O11" s="9"/>
      <c r="P11" s="9"/>
      <c r="Q11" s="9"/>
      <c r="R11" s="9"/>
      <c r="S11" s="9"/>
      <c r="T11" s="9">
        <f>IF(Data!O12&gt;0,Data!O12,0)+T10</f>
        <v>0</v>
      </c>
      <c r="U11" s="9"/>
      <c r="V11" s="9"/>
      <c r="W11" s="9"/>
      <c r="X11" s="9"/>
      <c r="Y11" s="9"/>
      <c r="Z11" s="9"/>
      <c r="AA11" s="9"/>
    </row>
    <row r="12" spans="10:27" x14ac:dyDescent="0.25">
      <c r="J12" s="8">
        <v>46032</v>
      </c>
      <c r="K12" s="9">
        <v>143</v>
      </c>
      <c r="L12" s="9">
        <f>IF(Data!O13-4&gt;0,Data!O13-4,0)+L11</f>
        <v>0</v>
      </c>
      <c r="M12" s="9"/>
      <c r="N12" s="9"/>
      <c r="O12" s="9"/>
      <c r="P12" s="9"/>
      <c r="Q12" s="9"/>
      <c r="R12" s="9"/>
      <c r="S12" s="9"/>
      <c r="T12" s="9">
        <f>IF(Data!O13&gt;0,Data!O13,0)+T11</f>
        <v>0</v>
      </c>
      <c r="U12" s="9"/>
      <c r="V12" s="9"/>
      <c r="W12" s="9"/>
      <c r="X12" s="9"/>
      <c r="Y12" s="9"/>
      <c r="Z12" s="9"/>
      <c r="AA12" s="9"/>
    </row>
    <row r="13" spans="10:27" x14ac:dyDescent="0.25">
      <c r="J13" s="8">
        <v>46033</v>
      </c>
      <c r="K13" s="9">
        <v>143</v>
      </c>
      <c r="L13" s="9">
        <f>IF(Data!O14-4&gt;0,Data!O14-4,0)+L12</f>
        <v>0</v>
      </c>
      <c r="M13" s="9"/>
      <c r="N13" s="9"/>
      <c r="O13" s="9"/>
      <c r="P13" s="9"/>
      <c r="Q13" s="9"/>
      <c r="R13" s="9"/>
      <c r="S13" s="9"/>
      <c r="T13" s="9">
        <f>IF(Data!O14&gt;0,Data!O14,0)+T12</f>
        <v>0</v>
      </c>
      <c r="U13" s="9"/>
      <c r="V13" s="9"/>
      <c r="W13" s="9"/>
      <c r="X13" s="9"/>
      <c r="Y13" s="9"/>
      <c r="Z13" s="9"/>
      <c r="AA13" s="9"/>
    </row>
    <row r="14" spans="10:27" x14ac:dyDescent="0.25">
      <c r="J14" s="8">
        <v>46034</v>
      </c>
      <c r="K14" s="9">
        <v>143</v>
      </c>
      <c r="L14" s="9">
        <f>IF(Data!O15-4&gt;0,Data!O15-4,0)+L13</f>
        <v>0</v>
      </c>
      <c r="M14" s="9"/>
      <c r="N14" s="9"/>
      <c r="O14" s="9"/>
      <c r="P14" s="9"/>
      <c r="Q14" s="9"/>
      <c r="R14" s="9"/>
      <c r="S14" s="9"/>
      <c r="T14" s="9">
        <f>IF(Data!O15&gt;0,Data!O15,0)+T13</f>
        <v>0</v>
      </c>
      <c r="U14" s="9"/>
      <c r="V14" s="9"/>
      <c r="W14" s="9"/>
      <c r="X14" s="9"/>
      <c r="Y14" s="9"/>
      <c r="Z14" s="9"/>
      <c r="AA14" s="9"/>
    </row>
    <row r="15" spans="10:27" x14ac:dyDescent="0.25">
      <c r="J15" s="8">
        <v>46035</v>
      </c>
      <c r="K15" s="9">
        <v>143</v>
      </c>
      <c r="L15" s="9">
        <f>IF(Data!O16-4&gt;0,Data!O16-4,0)+L14</f>
        <v>0</v>
      </c>
      <c r="M15" s="9"/>
      <c r="N15" s="9"/>
      <c r="O15" s="9"/>
      <c r="P15" s="9"/>
      <c r="Q15" s="9"/>
      <c r="R15" s="9"/>
      <c r="S15" s="9"/>
      <c r="T15" s="9">
        <f>IF(Data!O16&gt;0,Data!O16,0)+T14</f>
        <v>0</v>
      </c>
      <c r="U15" s="9"/>
      <c r="V15" s="9"/>
      <c r="W15" s="9"/>
      <c r="X15" s="9"/>
      <c r="Y15" s="9"/>
      <c r="Z15" s="9"/>
      <c r="AA15" s="9"/>
    </row>
    <row r="16" spans="10:27" x14ac:dyDescent="0.25">
      <c r="J16" s="8">
        <v>46036</v>
      </c>
      <c r="K16" s="9">
        <v>143</v>
      </c>
      <c r="L16" s="9">
        <f>IF(Data!O17-4&gt;0,Data!O17-4,0)+L15</f>
        <v>0</v>
      </c>
      <c r="M16" s="9"/>
      <c r="N16" s="9"/>
      <c r="O16" s="9"/>
      <c r="P16" s="9"/>
      <c r="Q16" s="9"/>
      <c r="R16" s="9"/>
      <c r="S16" s="9"/>
      <c r="T16" s="9">
        <f>IF(Data!O17&gt;0,Data!O17,0)+T15</f>
        <v>0</v>
      </c>
      <c r="U16" s="9"/>
      <c r="V16" s="9"/>
      <c r="W16" s="9"/>
      <c r="X16" s="9"/>
      <c r="Y16" s="9"/>
      <c r="Z16" s="9"/>
      <c r="AA16" s="9"/>
    </row>
    <row r="17" spans="1:27" x14ac:dyDescent="0.25">
      <c r="J17" s="8">
        <v>46037</v>
      </c>
      <c r="K17" s="9">
        <v>143</v>
      </c>
      <c r="L17" s="9">
        <f>IF(Data!O18-4&gt;0,Data!O18-4,0)+L16</f>
        <v>0</v>
      </c>
      <c r="M17" s="9"/>
      <c r="N17" s="9"/>
      <c r="O17" s="9"/>
      <c r="P17" s="9"/>
      <c r="Q17" s="9"/>
      <c r="R17" s="9"/>
      <c r="S17" s="9"/>
      <c r="T17" s="9">
        <f>IF(Data!O18&gt;0,Data!O18,0)+T16</f>
        <v>0</v>
      </c>
      <c r="U17" s="9"/>
      <c r="V17" s="9"/>
      <c r="W17" s="9"/>
      <c r="X17" s="9"/>
      <c r="Y17" s="9"/>
      <c r="Z17" s="9"/>
      <c r="AA17" s="9"/>
    </row>
    <row r="18" spans="1:27" x14ac:dyDescent="0.25">
      <c r="J18" s="8">
        <v>46038</v>
      </c>
      <c r="K18" s="9">
        <v>143</v>
      </c>
      <c r="L18" s="9">
        <f>IF(Data!O19-4&gt;0,Data!O19-4,0)+L17</f>
        <v>0</v>
      </c>
      <c r="M18" s="9"/>
      <c r="N18" s="9"/>
      <c r="O18" s="9"/>
      <c r="P18" s="9"/>
      <c r="Q18" s="9"/>
      <c r="R18" s="9"/>
      <c r="S18" s="9"/>
      <c r="T18" s="9">
        <f>IF(Data!O19&gt;0,Data!O19,0)+T17</f>
        <v>0</v>
      </c>
      <c r="U18" s="9"/>
      <c r="V18" s="9"/>
      <c r="W18" s="9"/>
      <c r="X18" s="9"/>
      <c r="Y18" s="9"/>
      <c r="Z18" s="9"/>
      <c r="AA18" s="9"/>
    </row>
    <row r="19" spans="1:27" x14ac:dyDescent="0.25">
      <c r="J19" s="8">
        <v>46039</v>
      </c>
      <c r="K19" s="9">
        <v>143</v>
      </c>
      <c r="L19" s="9">
        <f>IF(Data!O20-4&gt;0,Data!O20-4,0)+L18</f>
        <v>0</v>
      </c>
      <c r="M19" s="9"/>
      <c r="N19" s="9"/>
      <c r="O19" s="9"/>
      <c r="P19" s="9"/>
      <c r="Q19" s="9"/>
      <c r="R19" s="9"/>
      <c r="S19" s="9"/>
      <c r="T19" s="9">
        <f>IF(Data!O20&gt;0,Data!O20,0)+T18</f>
        <v>0</v>
      </c>
      <c r="U19" s="9"/>
      <c r="V19" s="9"/>
      <c r="W19" s="9"/>
      <c r="X19" s="9"/>
      <c r="Y19" s="9"/>
      <c r="Z19" s="9"/>
      <c r="AA19" s="9"/>
    </row>
    <row r="20" spans="1:27" x14ac:dyDescent="0.25">
      <c r="J20" s="8">
        <v>46040</v>
      </c>
      <c r="K20" s="9">
        <v>143</v>
      </c>
      <c r="L20" s="9">
        <f>IF(Data!O21-4&gt;0,Data!O21-4,0)+L19</f>
        <v>0</v>
      </c>
      <c r="M20" s="9"/>
      <c r="N20" s="9"/>
      <c r="O20" s="9"/>
      <c r="P20" s="9"/>
      <c r="Q20" s="9"/>
      <c r="R20" s="9"/>
      <c r="S20" s="9"/>
      <c r="T20" s="9">
        <f>IF(Data!O21&gt;0,Data!O21,0)+T19</f>
        <v>0</v>
      </c>
      <c r="U20" s="9"/>
      <c r="V20" s="9"/>
      <c r="W20" s="9"/>
      <c r="X20" s="9"/>
      <c r="Y20" s="9"/>
      <c r="Z20" s="9"/>
      <c r="AA20" s="9"/>
    </row>
    <row r="21" spans="1:27" x14ac:dyDescent="0.25">
      <c r="J21" s="8">
        <v>46041</v>
      </c>
      <c r="K21" s="9">
        <v>143</v>
      </c>
      <c r="L21" s="9">
        <f>IF(Data!O22-4&gt;0,Data!O22-4,0)+L20</f>
        <v>0</v>
      </c>
      <c r="M21" s="9"/>
      <c r="N21" s="9"/>
      <c r="O21" s="9"/>
      <c r="P21" s="9"/>
      <c r="Q21" s="9"/>
      <c r="R21" s="9"/>
      <c r="S21" s="9"/>
      <c r="T21" s="9">
        <f>IF(Data!O22&gt;0,Data!O22,0)+T20</f>
        <v>0</v>
      </c>
      <c r="U21" s="9"/>
      <c r="V21" s="9"/>
      <c r="W21" s="9"/>
      <c r="X21" s="9"/>
      <c r="Y21" s="9"/>
      <c r="Z21" s="9"/>
      <c r="AA21" s="9"/>
    </row>
    <row r="22" spans="1:27" x14ac:dyDescent="0.25">
      <c r="J22" s="8">
        <v>46042</v>
      </c>
      <c r="K22" s="9">
        <v>143</v>
      </c>
      <c r="L22" s="9">
        <f>IF(Data!O23-4&gt;0,Data!O23-4,0)+L21</f>
        <v>0</v>
      </c>
      <c r="M22" s="9"/>
      <c r="N22" s="9"/>
      <c r="O22" s="9"/>
      <c r="P22" s="9"/>
      <c r="Q22" s="9"/>
      <c r="R22" s="9"/>
      <c r="S22" s="9"/>
      <c r="T22" s="9">
        <f>IF(Data!O23&gt;0,Data!O23,0)+T21</f>
        <v>0</v>
      </c>
      <c r="U22" s="9"/>
      <c r="V22" s="9"/>
      <c r="W22" s="9"/>
      <c r="X22" s="9"/>
      <c r="Y22" s="9"/>
      <c r="Z22" s="9"/>
      <c r="AA22" s="9"/>
    </row>
    <row r="23" spans="1:27" x14ac:dyDescent="0.25">
      <c r="J23" s="8">
        <v>46043</v>
      </c>
      <c r="K23" s="9">
        <v>143</v>
      </c>
      <c r="L23" s="9">
        <f>IF(Data!O24-4&gt;0,Data!O24-4,0)+L22</f>
        <v>0</v>
      </c>
      <c r="M23" s="9"/>
      <c r="N23" s="9"/>
      <c r="O23" s="9"/>
      <c r="P23" s="9"/>
      <c r="Q23" s="9"/>
      <c r="R23" s="9"/>
      <c r="S23" s="9"/>
      <c r="T23" s="9">
        <f>IF(Data!O24&gt;0,Data!O24,0)+T22</f>
        <v>0</v>
      </c>
      <c r="U23" s="9"/>
      <c r="V23" s="9"/>
      <c r="W23" s="9"/>
      <c r="X23" s="9"/>
      <c r="Y23" s="9"/>
      <c r="Z23" s="9"/>
      <c r="AA23" s="9"/>
    </row>
    <row r="24" spans="1:27" x14ac:dyDescent="0.25">
      <c r="A24" s="13" t="s">
        <v>4</v>
      </c>
      <c r="B24" s="13" t="e">
        <f ca="1">L2</f>
        <v>#NAME?</v>
      </c>
      <c r="C24" s="13">
        <f t="shared" ref="C24:G24" si="0">N2</f>
        <v>0</v>
      </c>
      <c r="D24" s="13">
        <f t="shared" si="0"/>
        <v>0</v>
      </c>
      <c r="E24" s="13">
        <f t="shared" si="0"/>
        <v>0</v>
      </c>
      <c r="F24" s="13">
        <f t="shared" si="0"/>
        <v>0</v>
      </c>
      <c r="G24" s="13">
        <f t="shared" si="0"/>
        <v>0</v>
      </c>
      <c r="H24" s="13">
        <f>S2</f>
        <v>0</v>
      </c>
      <c r="J24" s="8">
        <v>46044</v>
      </c>
      <c r="K24" s="9">
        <v>143</v>
      </c>
      <c r="L24" s="9">
        <f>IF(Data!O25-4&gt;0,Data!O25-4,0)+L23</f>
        <v>0</v>
      </c>
      <c r="M24" s="9"/>
      <c r="N24" s="9"/>
      <c r="O24" s="9"/>
      <c r="P24" s="9"/>
      <c r="Q24" s="9"/>
      <c r="R24" s="9"/>
      <c r="S24" s="9"/>
      <c r="T24" s="9">
        <f>IF(Data!O25&gt;0,Data!O25,0)+T23</f>
        <v>0</v>
      </c>
      <c r="U24" s="9"/>
      <c r="V24" s="9"/>
      <c r="W24" s="9"/>
      <c r="X24" s="9"/>
      <c r="Y24" s="9"/>
      <c r="Z24" s="9"/>
      <c r="AA24" s="9"/>
    </row>
    <row r="25" spans="1:27" ht="45" x14ac:dyDescent="0.25">
      <c r="A25" s="13" t="s">
        <v>5</v>
      </c>
      <c r="B25" s="13">
        <f>L92</f>
        <v>0</v>
      </c>
      <c r="C25" s="13">
        <f t="shared" ref="C25:H25" si="1">N92</f>
        <v>0</v>
      </c>
      <c r="D25" s="13">
        <f t="shared" si="1"/>
        <v>0</v>
      </c>
      <c r="E25" s="13">
        <f t="shared" si="1"/>
        <v>0</v>
      </c>
      <c r="F25" s="13">
        <f t="shared" si="1"/>
        <v>0</v>
      </c>
      <c r="G25" s="13">
        <f t="shared" si="1"/>
        <v>0</v>
      </c>
      <c r="H25" s="13">
        <f t="shared" si="1"/>
        <v>0</v>
      </c>
      <c r="J25" s="8">
        <v>46045</v>
      </c>
      <c r="K25" s="9">
        <v>143</v>
      </c>
      <c r="L25" s="9">
        <f>IF(Data!O26-4&gt;0,Data!O26-4,0)+L24</f>
        <v>0</v>
      </c>
      <c r="M25" s="9"/>
      <c r="N25" s="9"/>
      <c r="O25" s="9"/>
      <c r="P25" s="9"/>
      <c r="Q25" s="9"/>
      <c r="R25" s="9"/>
      <c r="S25" s="9"/>
      <c r="T25" s="9">
        <f>IF(Data!O26&gt;0,Data!O26,0)+T24</f>
        <v>0</v>
      </c>
      <c r="U25" s="9"/>
      <c r="V25" s="9"/>
      <c r="W25" s="9"/>
      <c r="X25" s="9"/>
      <c r="Y25" s="9"/>
      <c r="Z25" s="9"/>
      <c r="AA25" s="9"/>
    </row>
    <row r="26" spans="1:27" x14ac:dyDescent="0.25">
      <c r="J26" s="8">
        <v>46046</v>
      </c>
      <c r="K26" s="9">
        <v>143</v>
      </c>
      <c r="L26" s="9">
        <f>IF(Data!O27-4&gt;0,Data!O27-4,0)+L25</f>
        <v>0</v>
      </c>
      <c r="M26" s="9"/>
      <c r="N26" s="9"/>
      <c r="O26" s="9"/>
      <c r="P26" s="9"/>
      <c r="Q26" s="9"/>
      <c r="R26" s="9"/>
      <c r="S26" s="9"/>
      <c r="T26" s="9">
        <f>IF(Data!O27&gt;0,Data!O27,0)+T25</f>
        <v>0</v>
      </c>
      <c r="U26" s="9"/>
      <c r="V26" s="9"/>
      <c r="W26" s="9"/>
      <c r="X26" s="9"/>
      <c r="Y26" s="9"/>
      <c r="Z26" s="9"/>
      <c r="AA26" s="9"/>
    </row>
    <row r="27" spans="1:27" x14ac:dyDescent="0.25">
      <c r="A27" s="13" t="s">
        <v>6</v>
      </c>
      <c r="B27" s="13" t="e">
        <f ca="1">T2</f>
        <v>#NAME?</v>
      </c>
      <c r="C27" s="13">
        <f t="shared" ref="C27:H27" si="2">V2</f>
        <v>0</v>
      </c>
      <c r="D27" s="13">
        <f t="shared" si="2"/>
        <v>0</v>
      </c>
      <c r="E27" s="13">
        <f t="shared" si="2"/>
        <v>0</v>
      </c>
      <c r="F27" s="13">
        <f t="shared" si="2"/>
        <v>0</v>
      </c>
      <c r="G27" s="13">
        <f t="shared" si="2"/>
        <v>0</v>
      </c>
      <c r="H27" s="13">
        <f t="shared" si="2"/>
        <v>0</v>
      </c>
      <c r="J27" s="8">
        <v>46047</v>
      </c>
      <c r="K27" s="9">
        <v>143</v>
      </c>
      <c r="L27" s="9">
        <f>IF(Data!O28-4&gt;0,Data!O28-4,0)+L26</f>
        <v>0</v>
      </c>
      <c r="M27" s="9"/>
      <c r="N27" s="9"/>
      <c r="O27" s="9"/>
      <c r="P27" s="9"/>
      <c r="Q27" s="9"/>
      <c r="R27" s="9"/>
      <c r="S27" s="9"/>
      <c r="T27" s="9">
        <f>IF(Data!O28&gt;0,Data!O28,0)+T26</f>
        <v>0</v>
      </c>
      <c r="U27" s="9"/>
      <c r="V27" s="9"/>
      <c r="W27" s="9"/>
      <c r="X27" s="9"/>
      <c r="Y27" s="9"/>
      <c r="Z27" s="9"/>
      <c r="AA27" s="9"/>
    </row>
    <row r="28" spans="1:27" ht="45" x14ac:dyDescent="0.25">
      <c r="A28" s="13" t="s">
        <v>5</v>
      </c>
      <c r="B28" s="13">
        <f>T92</f>
        <v>0</v>
      </c>
      <c r="C28" s="13">
        <f t="shared" ref="C28:H28" si="3">V92</f>
        <v>0</v>
      </c>
      <c r="D28" s="13">
        <f t="shared" si="3"/>
        <v>0</v>
      </c>
      <c r="E28" s="13">
        <f t="shared" si="3"/>
        <v>0</v>
      </c>
      <c r="F28" s="13">
        <f t="shared" si="3"/>
        <v>0</v>
      </c>
      <c r="G28" s="13">
        <f t="shared" si="3"/>
        <v>0</v>
      </c>
      <c r="H28" s="13">
        <f t="shared" si="3"/>
        <v>0</v>
      </c>
      <c r="J28" s="8">
        <v>46048</v>
      </c>
      <c r="K28" s="9">
        <v>143</v>
      </c>
      <c r="L28" s="9">
        <f>IF(Data!O29-4&gt;0,Data!O29-4,0)+L27</f>
        <v>0</v>
      </c>
      <c r="M28" s="9"/>
      <c r="N28" s="9"/>
      <c r="O28" s="9"/>
      <c r="P28" s="9"/>
      <c r="Q28" s="9"/>
      <c r="R28" s="9"/>
      <c r="S28" s="9"/>
      <c r="T28" s="9">
        <f>IF(Data!O29&gt;0,Data!O29,0)+T27</f>
        <v>0</v>
      </c>
      <c r="U28" s="9"/>
      <c r="V28" s="9"/>
      <c r="W28" s="9"/>
      <c r="X28" s="9"/>
      <c r="Y28" s="9"/>
      <c r="Z28" s="9"/>
      <c r="AA28" s="9"/>
    </row>
    <row r="29" spans="1:27" x14ac:dyDescent="0.25">
      <c r="J29" s="8">
        <v>46049</v>
      </c>
      <c r="K29" s="9">
        <v>143</v>
      </c>
      <c r="L29" s="9">
        <f>IF(Data!O30-4&gt;0,Data!O30-4,0)+L28</f>
        <v>0</v>
      </c>
      <c r="M29" s="9"/>
      <c r="N29" s="9"/>
      <c r="O29" s="9"/>
      <c r="P29" s="9"/>
      <c r="Q29" s="9"/>
      <c r="R29" s="9"/>
      <c r="S29" s="9"/>
      <c r="T29" s="9">
        <f>IF(Data!O30&gt;0,Data!O30,0)+T28</f>
        <v>0</v>
      </c>
      <c r="U29" s="9"/>
      <c r="V29" s="9"/>
      <c r="W29" s="9"/>
      <c r="X29" s="9"/>
      <c r="Y29" s="9"/>
      <c r="Z29" s="9"/>
      <c r="AA29" s="9"/>
    </row>
    <row r="30" spans="1:27" x14ac:dyDescent="0.25">
      <c r="J30" s="8">
        <v>46050</v>
      </c>
      <c r="K30" s="9">
        <v>143</v>
      </c>
      <c r="L30" s="9">
        <f>IF(Data!O31-4&gt;0,Data!O31-4,0)+L29</f>
        <v>0</v>
      </c>
      <c r="M30" s="9"/>
      <c r="N30" s="9"/>
      <c r="O30" s="9"/>
      <c r="P30" s="9"/>
      <c r="Q30" s="9"/>
      <c r="R30" s="9"/>
      <c r="S30" s="9"/>
      <c r="T30" s="9">
        <f>IF(Data!O31&gt;0,Data!O31,0)+T29</f>
        <v>0</v>
      </c>
      <c r="U30" s="9"/>
      <c r="V30" s="9"/>
      <c r="W30" s="9"/>
      <c r="X30" s="9"/>
      <c r="Y30" s="9"/>
      <c r="Z30" s="9"/>
      <c r="AA30" s="9"/>
    </row>
    <row r="31" spans="1:27" x14ac:dyDescent="0.25">
      <c r="J31" s="8">
        <v>46051</v>
      </c>
      <c r="K31" s="9">
        <v>143</v>
      </c>
      <c r="L31" s="9">
        <f>IF(Data!O32-4&gt;0,Data!O32-4,0)+L30</f>
        <v>0</v>
      </c>
      <c r="M31" s="9"/>
      <c r="N31" s="9"/>
      <c r="O31" s="9"/>
      <c r="P31" s="9"/>
      <c r="Q31" s="9"/>
      <c r="R31" s="9"/>
      <c r="S31" s="9"/>
      <c r="T31" s="9">
        <f>IF(Data!O32&gt;0,Data!O32,0)+T30</f>
        <v>0</v>
      </c>
      <c r="U31" s="9"/>
      <c r="V31" s="9"/>
      <c r="W31" s="9"/>
      <c r="X31" s="9"/>
      <c r="Y31" s="9"/>
      <c r="Z31" s="9"/>
      <c r="AA31" s="9"/>
    </row>
    <row r="32" spans="1:27" x14ac:dyDescent="0.25">
      <c r="J32" s="8">
        <v>46052</v>
      </c>
      <c r="K32" s="9">
        <v>143</v>
      </c>
      <c r="L32" s="9">
        <f>IF(Data!O33-4&gt;0,Data!O33-4,0)+L31</f>
        <v>0</v>
      </c>
      <c r="M32" s="9"/>
      <c r="N32" s="9"/>
      <c r="O32" s="9"/>
      <c r="P32" s="9"/>
      <c r="Q32" s="9"/>
      <c r="R32" s="9"/>
      <c r="S32" s="9"/>
      <c r="T32" s="9">
        <f>IF(Data!O33&gt;0,Data!O33,0)+T31</f>
        <v>0</v>
      </c>
      <c r="U32" s="9"/>
      <c r="V32" s="9"/>
      <c r="W32" s="9"/>
      <c r="X32" s="9"/>
      <c r="Y32" s="9"/>
      <c r="Z32" s="9"/>
      <c r="AA32" s="9"/>
    </row>
    <row r="33" spans="10:27" x14ac:dyDescent="0.25">
      <c r="J33" s="8">
        <v>46053</v>
      </c>
      <c r="K33" s="9">
        <v>143</v>
      </c>
      <c r="L33" s="9">
        <f>IF(Data!O34-4&gt;0,Data!O34-4,0)+L32</f>
        <v>0</v>
      </c>
      <c r="M33" s="9"/>
      <c r="N33" s="9"/>
      <c r="O33" s="9"/>
      <c r="P33" s="9"/>
      <c r="Q33" s="9"/>
      <c r="R33" s="9"/>
      <c r="S33" s="9"/>
      <c r="T33" s="9">
        <f>IF(Data!O34&gt;0,Data!O34,0)+T32</f>
        <v>0</v>
      </c>
      <c r="U33" s="9"/>
      <c r="V33" s="9"/>
      <c r="W33" s="9"/>
      <c r="X33" s="9"/>
      <c r="Y33" s="9"/>
      <c r="Z33" s="9"/>
      <c r="AA33" s="9"/>
    </row>
    <row r="34" spans="10:27" x14ac:dyDescent="0.25">
      <c r="J34" s="8">
        <v>46054</v>
      </c>
      <c r="K34" s="9">
        <v>143</v>
      </c>
      <c r="L34" s="9">
        <f>IF(Data!O35-4&gt;0,Data!O35-4,0)+L33</f>
        <v>0</v>
      </c>
      <c r="M34" s="9"/>
      <c r="N34" s="9"/>
      <c r="O34" s="9"/>
      <c r="P34" s="9"/>
      <c r="Q34" s="9"/>
      <c r="R34" s="9"/>
      <c r="S34" s="9"/>
      <c r="T34" s="9">
        <f>IF(Data!O35&gt;0,Data!O35,0)+T33</f>
        <v>0</v>
      </c>
      <c r="U34" s="9"/>
      <c r="V34" s="9"/>
      <c r="W34" s="9"/>
      <c r="X34" s="9"/>
      <c r="Y34" s="9"/>
      <c r="Z34" s="9"/>
      <c r="AA34" s="9"/>
    </row>
    <row r="35" spans="10:27" x14ac:dyDescent="0.25">
      <c r="J35" s="8">
        <v>46055</v>
      </c>
      <c r="K35" s="9">
        <v>143</v>
      </c>
      <c r="L35" s="9">
        <f>IF(Data!O36-4&gt;0,Data!O36-4,0)+L34</f>
        <v>0</v>
      </c>
      <c r="M35" s="9"/>
      <c r="N35" s="9"/>
      <c r="O35" s="9"/>
      <c r="P35" s="9"/>
      <c r="Q35" s="9"/>
      <c r="R35" s="9"/>
      <c r="S35" s="9"/>
      <c r="T35" s="9">
        <f>IF(Data!O36&gt;0,Data!O36,0)+T34</f>
        <v>0</v>
      </c>
      <c r="U35" s="9"/>
      <c r="V35" s="9"/>
      <c r="W35" s="9"/>
      <c r="X35" s="9"/>
      <c r="Y35" s="9"/>
      <c r="Z35" s="9"/>
      <c r="AA35" s="9"/>
    </row>
    <row r="36" spans="10:27" x14ac:dyDescent="0.25">
      <c r="J36" s="8">
        <v>46056</v>
      </c>
      <c r="K36" s="9">
        <v>143</v>
      </c>
      <c r="L36" s="9">
        <f>IF(Data!O37-4&gt;0,Data!O37-4,0)+L35</f>
        <v>0</v>
      </c>
      <c r="M36" s="9"/>
      <c r="N36" s="9"/>
      <c r="O36" s="9"/>
      <c r="P36" s="9"/>
      <c r="Q36" s="9"/>
      <c r="R36" s="9"/>
      <c r="S36" s="9"/>
      <c r="T36" s="9">
        <f>IF(Data!O37&gt;0,Data!O37,0)+T35</f>
        <v>0</v>
      </c>
      <c r="U36" s="9"/>
      <c r="V36" s="9"/>
      <c r="W36" s="9"/>
      <c r="X36" s="9"/>
      <c r="Y36" s="9"/>
      <c r="Z36" s="9"/>
      <c r="AA36" s="9"/>
    </row>
    <row r="37" spans="10:27" x14ac:dyDescent="0.25">
      <c r="J37" s="8">
        <v>46057</v>
      </c>
      <c r="K37" s="9">
        <v>143</v>
      </c>
      <c r="L37" s="9">
        <f>IF(Data!O38-4&gt;0,Data!O38-4,0)+L36</f>
        <v>0</v>
      </c>
      <c r="M37" s="9"/>
      <c r="N37" s="9"/>
      <c r="O37" s="9"/>
      <c r="P37" s="9"/>
      <c r="Q37" s="9"/>
      <c r="R37" s="9"/>
      <c r="S37" s="9"/>
      <c r="T37" s="9">
        <f>IF(Data!O38&gt;0,Data!O38,0)+T36</f>
        <v>0</v>
      </c>
      <c r="U37" s="9"/>
      <c r="V37" s="9"/>
      <c r="W37" s="9"/>
      <c r="X37" s="9"/>
      <c r="Y37" s="9"/>
      <c r="Z37" s="9"/>
      <c r="AA37" s="9"/>
    </row>
    <row r="38" spans="10:27" x14ac:dyDescent="0.25">
      <c r="J38" s="8">
        <v>46058</v>
      </c>
      <c r="K38" s="9">
        <v>143</v>
      </c>
      <c r="L38" s="9">
        <f>IF(Data!O39-4&gt;0,Data!O39-4,0)+L37</f>
        <v>0</v>
      </c>
      <c r="M38" s="9"/>
      <c r="N38" s="9"/>
      <c r="O38" s="9"/>
      <c r="P38" s="9"/>
      <c r="Q38" s="9"/>
      <c r="R38" s="9"/>
      <c r="S38" s="9"/>
      <c r="T38" s="9">
        <f>IF(Data!O39&gt;0,Data!O39,0)+T37</f>
        <v>0</v>
      </c>
      <c r="U38" s="9"/>
      <c r="V38" s="9"/>
      <c r="W38" s="9"/>
      <c r="X38" s="9"/>
      <c r="Y38" s="9"/>
      <c r="Z38" s="9"/>
      <c r="AA38" s="9"/>
    </row>
    <row r="39" spans="10:27" x14ac:dyDescent="0.25">
      <c r="J39" s="8">
        <v>46059</v>
      </c>
      <c r="K39" s="9">
        <v>143</v>
      </c>
      <c r="L39" s="9">
        <f>IF(Data!O40-4&gt;0,Data!O40-4,0)+L38</f>
        <v>0</v>
      </c>
      <c r="M39" s="9"/>
      <c r="N39" s="9"/>
      <c r="O39" s="9"/>
      <c r="P39" s="9"/>
      <c r="Q39" s="9"/>
      <c r="R39" s="9"/>
      <c r="S39" s="9"/>
      <c r="T39" s="9">
        <f>IF(Data!O40&gt;0,Data!O40,0)+T38</f>
        <v>0</v>
      </c>
      <c r="U39" s="9"/>
      <c r="V39" s="9"/>
      <c r="W39" s="9"/>
      <c r="X39" s="9"/>
      <c r="Y39" s="9"/>
      <c r="Z39" s="9"/>
      <c r="AA39" s="9"/>
    </row>
    <row r="40" spans="10:27" x14ac:dyDescent="0.25">
      <c r="J40" s="8">
        <v>46060</v>
      </c>
      <c r="K40" s="9">
        <v>143</v>
      </c>
      <c r="L40" s="9">
        <f>IF(Data!O41-4&gt;0,Data!O41-4,0)+L39</f>
        <v>0</v>
      </c>
      <c r="M40" s="9"/>
      <c r="N40" s="9"/>
      <c r="O40" s="9"/>
      <c r="P40" s="9"/>
      <c r="Q40" s="9"/>
      <c r="R40" s="9"/>
      <c r="S40" s="9"/>
      <c r="T40" s="9">
        <f>IF(Data!O41&gt;0,Data!O41,0)+T39</f>
        <v>0</v>
      </c>
      <c r="U40" s="9"/>
      <c r="V40" s="9"/>
      <c r="W40" s="9"/>
      <c r="X40" s="9"/>
      <c r="Y40" s="9"/>
      <c r="Z40" s="9"/>
      <c r="AA40" s="9"/>
    </row>
    <row r="41" spans="10:27" x14ac:dyDescent="0.25">
      <c r="J41" s="8">
        <v>46061</v>
      </c>
      <c r="K41" s="9">
        <v>143</v>
      </c>
      <c r="L41" s="9">
        <f>IF(Data!O42-4&gt;0,Data!O42-4,0)+L40</f>
        <v>0</v>
      </c>
      <c r="M41" s="9"/>
      <c r="N41" s="9"/>
      <c r="O41" s="9"/>
      <c r="P41" s="9"/>
      <c r="Q41" s="9"/>
      <c r="R41" s="9"/>
      <c r="S41" s="9"/>
      <c r="T41" s="9">
        <f>IF(Data!O42&gt;0,Data!O42,0)+T40</f>
        <v>0</v>
      </c>
      <c r="U41" s="9"/>
      <c r="V41" s="9"/>
      <c r="W41" s="9"/>
      <c r="X41" s="9"/>
      <c r="Y41" s="9"/>
      <c r="Z41" s="9"/>
      <c r="AA41" s="9"/>
    </row>
    <row r="42" spans="10:27" x14ac:dyDescent="0.25">
      <c r="J42" s="8">
        <v>46062</v>
      </c>
      <c r="K42" s="9">
        <v>143</v>
      </c>
      <c r="L42" s="9">
        <f>IF(Data!O43-4&gt;0,Data!O43-4,0)+L41</f>
        <v>0</v>
      </c>
      <c r="M42" s="9"/>
      <c r="N42" s="9"/>
      <c r="O42" s="9"/>
      <c r="P42" s="9"/>
      <c r="Q42" s="9"/>
      <c r="R42" s="9"/>
      <c r="S42" s="9"/>
      <c r="T42" s="9">
        <f>IF(Data!O43&gt;0,Data!O43,0)+T41</f>
        <v>0</v>
      </c>
      <c r="U42" s="9"/>
      <c r="V42" s="9"/>
      <c r="W42" s="9"/>
      <c r="X42" s="9"/>
      <c r="Y42" s="9"/>
      <c r="Z42" s="9"/>
      <c r="AA42" s="9"/>
    </row>
    <row r="43" spans="10:27" x14ac:dyDescent="0.25">
      <c r="J43" s="8">
        <v>46063</v>
      </c>
      <c r="K43" s="9">
        <v>143</v>
      </c>
      <c r="L43" s="9">
        <f>IF(Data!O44-4&gt;0,Data!O44-4,0)+L42</f>
        <v>0</v>
      </c>
      <c r="M43" s="9"/>
      <c r="N43" s="9"/>
      <c r="O43" s="9"/>
      <c r="P43" s="9"/>
      <c r="Q43" s="9"/>
      <c r="R43" s="9"/>
      <c r="S43" s="9"/>
      <c r="T43" s="9">
        <f>IF(Data!O44&gt;0,Data!O44,0)+T42</f>
        <v>0</v>
      </c>
      <c r="U43" s="9"/>
      <c r="V43" s="9"/>
      <c r="W43" s="9"/>
      <c r="X43" s="9"/>
      <c r="Y43" s="9"/>
      <c r="Z43" s="9"/>
      <c r="AA43" s="9"/>
    </row>
    <row r="44" spans="10:27" x14ac:dyDescent="0.25">
      <c r="J44" s="8">
        <v>46064</v>
      </c>
      <c r="K44" s="9">
        <v>143</v>
      </c>
      <c r="L44" s="9">
        <f>IF(Data!O45-4&gt;0,Data!O45-4,0)+L43</f>
        <v>0</v>
      </c>
      <c r="M44" s="9"/>
      <c r="N44" s="9"/>
      <c r="O44" s="9"/>
      <c r="P44" s="9"/>
      <c r="Q44" s="9"/>
      <c r="R44" s="9"/>
      <c r="S44" s="9"/>
      <c r="T44" s="9">
        <f>IF(Data!O45&gt;0,Data!O45,0)+T43</f>
        <v>0</v>
      </c>
      <c r="U44" s="9"/>
      <c r="V44" s="9"/>
      <c r="W44" s="9"/>
      <c r="X44" s="9"/>
      <c r="Y44" s="9"/>
      <c r="Z44" s="9"/>
      <c r="AA44" s="9"/>
    </row>
    <row r="45" spans="10:27" x14ac:dyDescent="0.25">
      <c r="J45" s="8">
        <v>46065</v>
      </c>
      <c r="K45" s="9">
        <v>143</v>
      </c>
      <c r="L45" s="9">
        <f>IF(Data!O46-4&gt;0,Data!O46-4,0)+L44</f>
        <v>0</v>
      </c>
      <c r="M45" s="9"/>
      <c r="N45" s="9"/>
      <c r="O45" s="9"/>
      <c r="P45" s="9"/>
      <c r="Q45" s="9"/>
      <c r="R45" s="9"/>
      <c r="S45" s="9"/>
      <c r="T45" s="9">
        <f>IF(Data!O46&gt;0,Data!O46,0)+T44</f>
        <v>0</v>
      </c>
      <c r="U45" s="9"/>
      <c r="V45" s="9"/>
      <c r="W45" s="9"/>
      <c r="X45" s="9"/>
      <c r="Y45" s="9"/>
      <c r="Z45" s="9"/>
      <c r="AA45" s="9"/>
    </row>
    <row r="46" spans="10:27" x14ac:dyDescent="0.25">
      <c r="J46" s="8">
        <v>46066</v>
      </c>
      <c r="K46" s="9">
        <v>143</v>
      </c>
      <c r="L46" s="9">
        <f>IF(Data!O47-4&gt;0,Data!O47-4,0)+L45</f>
        <v>0</v>
      </c>
      <c r="M46" s="9"/>
      <c r="N46" s="9"/>
      <c r="O46" s="9"/>
      <c r="P46" s="9"/>
      <c r="Q46" s="9"/>
      <c r="R46" s="9"/>
      <c r="S46" s="9"/>
      <c r="T46" s="9">
        <f>IF(Data!O47&gt;0,Data!O47,0)+T45</f>
        <v>0</v>
      </c>
      <c r="U46" s="9"/>
      <c r="V46" s="9"/>
      <c r="W46" s="9"/>
      <c r="X46" s="9"/>
      <c r="Y46" s="9"/>
      <c r="Z46" s="9"/>
      <c r="AA46" s="9"/>
    </row>
    <row r="47" spans="10:27" x14ac:dyDescent="0.25">
      <c r="J47" s="8">
        <v>46067</v>
      </c>
      <c r="K47" s="9">
        <v>143</v>
      </c>
      <c r="L47" s="9">
        <f>IF(Data!O48-4&gt;0,Data!O48-4,0)+L46</f>
        <v>0</v>
      </c>
      <c r="M47" s="9"/>
      <c r="N47" s="9"/>
      <c r="O47" s="9"/>
      <c r="P47" s="9"/>
      <c r="Q47" s="9"/>
      <c r="R47" s="9"/>
      <c r="S47" s="9"/>
      <c r="T47" s="9">
        <f>IF(Data!O48&gt;0,Data!O48,0)+T46</f>
        <v>0</v>
      </c>
      <c r="U47" s="9"/>
      <c r="V47" s="9"/>
      <c r="W47" s="9"/>
      <c r="X47" s="9"/>
      <c r="Y47" s="9"/>
      <c r="Z47" s="9"/>
      <c r="AA47" s="9"/>
    </row>
    <row r="48" spans="10:27" x14ac:dyDescent="0.25">
      <c r="J48" s="8">
        <v>46068</v>
      </c>
      <c r="K48" s="9">
        <v>143</v>
      </c>
      <c r="L48" s="9">
        <f>IF(Data!O49-4&gt;0,Data!O49-4,0)+L47</f>
        <v>0</v>
      </c>
      <c r="M48" s="9"/>
      <c r="N48" s="9"/>
      <c r="O48" s="9"/>
      <c r="P48" s="9"/>
      <c r="Q48" s="9"/>
      <c r="R48" s="9"/>
      <c r="S48" s="9"/>
      <c r="T48" s="9">
        <f>IF(Data!O49&gt;0,Data!O49,0)+T47</f>
        <v>0</v>
      </c>
      <c r="U48" s="9"/>
      <c r="V48" s="9"/>
      <c r="W48" s="9"/>
      <c r="X48" s="9"/>
      <c r="Y48" s="9"/>
      <c r="Z48" s="9"/>
      <c r="AA48" s="9"/>
    </row>
    <row r="49" spans="10:27" x14ac:dyDescent="0.25">
      <c r="J49" s="8">
        <v>46069</v>
      </c>
      <c r="K49" s="9">
        <v>143</v>
      </c>
      <c r="L49" s="9">
        <f>IF(Data!O50-4&gt;0,Data!O50-4,0)+L48</f>
        <v>0</v>
      </c>
      <c r="M49" s="9"/>
      <c r="N49" s="9"/>
      <c r="O49" s="9"/>
      <c r="P49" s="9"/>
      <c r="Q49" s="9"/>
      <c r="R49" s="9"/>
      <c r="S49" s="9"/>
      <c r="T49" s="9">
        <f>IF(Data!O50&gt;0,Data!O50,0)+T48</f>
        <v>0</v>
      </c>
      <c r="U49" s="9"/>
      <c r="V49" s="9"/>
      <c r="W49" s="9"/>
      <c r="X49" s="9"/>
      <c r="Y49" s="9"/>
      <c r="Z49" s="9"/>
      <c r="AA49" s="9"/>
    </row>
    <row r="50" spans="10:27" x14ac:dyDescent="0.25">
      <c r="J50" s="8">
        <v>46070</v>
      </c>
      <c r="K50" s="9">
        <v>143</v>
      </c>
      <c r="L50" s="9">
        <f>IF(Data!O51-4&gt;0,Data!O51-4,0)+L49</f>
        <v>0</v>
      </c>
      <c r="M50" s="9"/>
      <c r="N50" s="9"/>
      <c r="O50" s="9"/>
      <c r="P50" s="9"/>
      <c r="Q50" s="9"/>
      <c r="R50" s="9"/>
      <c r="S50" s="9"/>
      <c r="T50" s="9">
        <f>IF(Data!O51&gt;0,Data!O51,0)+T49</f>
        <v>0</v>
      </c>
      <c r="U50" s="9"/>
      <c r="V50" s="9"/>
      <c r="W50" s="9"/>
      <c r="X50" s="9"/>
      <c r="Y50" s="9"/>
      <c r="Z50" s="9"/>
      <c r="AA50" s="9"/>
    </row>
    <row r="51" spans="10:27" x14ac:dyDescent="0.25">
      <c r="J51" s="8">
        <v>46071</v>
      </c>
      <c r="K51" s="9">
        <v>143</v>
      </c>
      <c r="L51" s="9">
        <f>IF(Data!O52-4&gt;0,Data!O52-4,0)+L50</f>
        <v>0</v>
      </c>
      <c r="M51" s="9"/>
      <c r="N51" s="9"/>
      <c r="O51" s="9"/>
      <c r="P51" s="9"/>
      <c r="Q51" s="9"/>
      <c r="R51" s="9"/>
      <c r="S51" s="9"/>
      <c r="T51" s="9">
        <f>IF(Data!O52&gt;0,Data!O52,0)+T50</f>
        <v>0</v>
      </c>
      <c r="U51" s="9"/>
      <c r="V51" s="9"/>
      <c r="W51" s="9"/>
      <c r="X51" s="9"/>
      <c r="Y51" s="9"/>
      <c r="Z51" s="9"/>
      <c r="AA51" s="9"/>
    </row>
    <row r="52" spans="10:27" x14ac:dyDescent="0.25">
      <c r="J52" s="8">
        <v>46072</v>
      </c>
      <c r="K52" s="9">
        <v>143</v>
      </c>
      <c r="L52" s="9">
        <f>IF(Data!O53-4&gt;0,Data!O53-4,0)+L51</f>
        <v>0</v>
      </c>
      <c r="M52" s="9"/>
      <c r="N52" s="9"/>
      <c r="O52" s="9"/>
      <c r="P52" s="9"/>
      <c r="Q52" s="9"/>
      <c r="R52" s="9"/>
      <c r="S52" s="9"/>
      <c r="T52" s="9">
        <f>IF(Data!O53&gt;0,Data!O53,0)+T51</f>
        <v>0</v>
      </c>
      <c r="U52" s="9"/>
      <c r="V52" s="9"/>
      <c r="W52" s="9"/>
      <c r="X52" s="9"/>
      <c r="Y52" s="9"/>
      <c r="Z52" s="9"/>
      <c r="AA52" s="9"/>
    </row>
    <row r="53" spans="10:27" x14ac:dyDescent="0.25">
      <c r="J53" s="8">
        <v>46073</v>
      </c>
      <c r="K53" s="9">
        <v>143</v>
      </c>
      <c r="L53" s="9">
        <f>IF(Data!O54-4&gt;0,Data!O54-4,0)+L52</f>
        <v>0</v>
      </c>
      <c r="M53" s="9"/>
      <c r="N53" s="9"/>
      <c r="O53" s="9"/>
      <c r="P53" s="9"/>
      <c r="Q53" s="9"/>
      <c r="R53" s="9"/>
      <c r="S53" s="9"/>
      <c r="T53" s="9">
        <f>IF(Data!O54&gt;0,Data!O54,0)+T52</f>
        <v>0</v>
      </c>
      <c r="U53" s="9"/>
      <c r="V53" s="9"/>
      <c r="W53" s="9"/>
      <c r="X53" s="9"/>
      <c r="Y53" s="9"/>
      <c r="Z53" s="9"/>
      <c r="AA53" s="9"/>
    </row>
    <row r="54" spans="10:27" x14ac:dyDescent="0.25">
      <c r="J54" s="8">
        <v>46074</v>
      </c>
      <c r="K54" s="9">
        <v>143</v>
      </c>
      <c r="L54" s="9">
        <f>IF(Data!O55-4&gt;0,Data!O55-4,0)+L53</f>
        <v>0</v>
      </c>
      <c r="M54" s="9"/>
      <c r="N54" s="9"/>
      <c r="O54" s="9"/>
      <c r="P54" s="9"/>
      <c r="Q54" s="9"/>
      <c r="R54" s="9"/>
      <c r="S54" s="9"/>
      <c r="T54" s="9">
        <f>IF(Data!O55&gt;0,Data!O55,0)+T53</f>
        <v>0</v>
      </c>
      <c r="U54" s="9"/>
      <c r="V54" s="9"/>
      <c r="W54" s="9"/>
      <c r="X54" s="9"/>
      <c r="Y54" s="9"/>
      <c r="Z54" s="9"/>
      <c r="AA54" s="9"/>
    </row>
    <row r="55" spans="10:27" x14ac:dyDescent="0.25">
      <c r="J55" s="8">
        <v>46075</v>
      </c>
      <c r="K55" s="9">
        <v>143</v>
      </c>
      <c r="L55" s="9">
        <f>IF(Data!O56-4&gt;0,Data!O56-4,0)+L54</f>
        <v>0</v>
      </c>
      <c r="M55" s="9"/>
      <c r="N55" s="9"/>
      <c r="O55" s="9"/>
      <c r="P55" s="9"/>
      <c r="Q55" s="9"/>
      <c r="R55" s="9"/>
      <c r="S55" s="9"/>
      <c r="T55" s="9">
        <f>IF(Data!O56&gt;0,Data!O56,0)+T54</f>
        <v>0</v>
      </c>
      <c r="U55" s="9"/>
      <c r="V55" s="9"/>
      <c r="W55" s="9"/>
      <c r="X55" s="9"/>
      <c r="Y55" s="9"/>
      <c r="Z55" s="9"/>
      <c r="AA55" s="9"/>
    </row>
    <row r="56" spans="10:27" x14ac:dyDescent="0.25">
      <c r="J56" s="8">
        <v>46076</v>
      </c>
      <c r="K56" s="9">
        <v>143</v>
      </c>
      <c r="L56" s="9">
        <f>IF(Data!O57-4&gt;0,Data!O57-4,0)+L55</f>
        <v>0</v>
      </c>
      <c r="M56" s="9"/>
      <c r="N56" s="9"/>
      <c r="O56" s="9"/>
      <c r="P56" s="9"/>
      <c r="Q56" s="9"/>
      <c r="R56" s="9"/>
      <c r="S56" s="9"/>
      <c r="T56" s="9">
        <f>IF(Data!O57&gt;0,Data!O57,0)+T55</f>
        <v>0</v>
      </c>
      <c r="U56" s="9"/>
      <c r="V56" s="9"/>
      <c r="W56" s="9"/>
      <c r="X56" s="9"/>
      <c r="Y56" s="9"/>
      <c r="Z56" s="9"/>
      <c r="AA56" s="9"/>
    </row>
    <row r="57" spans="10:27" x14ac:dyDescent="0.25">
      <c r="J57" s="8">
        <v>46077</v>
      </c>
      <c r="K57" s="9">
        <v>143</v>
      </c>
      <c r="L57" s="9">
        <f>IF(Data!O58-4&gt;0,Data!O58-4,0)+L56</f>
        <v>0</v>
      </c>
      <c r="M57" s="9"/>
      <c r="N57" s="9"/>
      <c r="O57" s="9"/>
      <c r="P57" s="9"/>
      <c r="Q57" s="9"/>
      <c r="R57" s="9"/>
      <c r="S57" s="9"/>
      <c r="T57" s="9">
        <f>IF(Data!O58&gt;0,Data!O58,0)+T56</f>
        <v>0</v>
      </c>
      <c r="U57" s="9"/>
      <c r="V57" s="9"/>
      <c r="W57" s="9"/>
      <c r="X57" s="9"/>
      <c r="Y57" s="9"/>
      <c r="Z57" s="9"/>
      <c r="AA57" s="9"/>
    </row>
    <row r="58" spans="10:27" x14ac:dyDescent="0.25">
      <c r="J58" s="8">
        <v>46078</v>
      </c>
      <c r="K58" s="9">
        <v>143</v>
      </c>
      <c r="L58" s="9">
        <f>IF(Data!O59-4&gt;0,Data!O59-4,0)+L57</f>
        <v>0</v>
      </c>
      <c r="M58" s="9"/>
      <c r="N58" s="9"/>
      <c r="O58" s="9"/>
      <c r="P58" s="9"/>
      <c r="Q58" s="9"/>
      <c r="R58" s="9"/>
      <c r="S58" s="9"/>
      <c r="T58" s="9">
        <f>IF(Data!O59&gt;0,Data!O59,0)+T57</f>
        <v>0</v>
      </c>
      <c r="U58" s="9"/>
      <c r="V58" s="9"/>
      <c r="W58" s="9"/>
      <c r="X58" s="9"/>
      <c r="Y58" s="9"/>
      <c r="Z58" s="9"/>
      <c r="AA58" s="9"/>
    </row>
    <row r="59" spans="10:27" x14ac:dyDescent="0.25">
      <c r="J59" s="8">
        <v>46079</v>
      </c>
      <c r="K59" s="9">
        <v>143</v>
      </c>
      <c r="L59" s="9">
        <f>IF(Data!O60-4&gt;0,Data!O60-4,0)+L58</f>
        <v>0</v>
      </c>
      <c r="M59" s="9"/>
      <c r="N59" s="9"/>
      <c r="O59" s="9"/>
      <c r="P59" s="9"/>
      <c r="Q59" s="9"/>
      <c r="R59" s="9"/>
      <c r="S59" s="9"/>
      <c r="T59" s="9">
        <f>IF(Data!O60&gt;0,Data!O60,0)+T58</f>
        <v>0</v>
      </c>
      <c r="U59" s="9"/>
      <c r="V59" s="9"/>
      <c r="W59" s="9"/>
      <c r="X59" s="9"/>
      <c r="Y59" s="9"/>
      <c r="Z59" s="9"/>
      <c r="AA59" s="9"/>
    </row>
    <row r="60" spans="10:27" x14ac:dyDescent="0.25">
      <c r="J60" s="8">
        <v>46080</v>
      </c>
      <c r="K60" s="9">
        <v>143</v>
      </c>
      <c r="L60" s="9">
        <f>IF(Data!O61-4&gt;0,Data!O61-4,0)+L59</f>
        <v>0</v>
      </c>
      <c r="M60" s="9"/>
      <c r="N60" s="9"/>
      <c r="O60" s="9"/>
      <c r="P60" s="9"/>
      <c r="Q60" s="9"/>
      <c r="R60" s="9"/>
      <c r="S60" s="9"/>
      <c r="T60" s="9">
        <f>IF(Data!O61&gt;0,Data!O61,0)+T59</f>
        <v>0</v>
      </c>
      <c r="U60" s="9"/>
      <c r="V60" s="9"/>
      <c r="W60" s="9"/>
      <c r="X60" s="9"/>
      <c r="Y60" s="9"/>
      <c r="Z60" s="9"/>
      <c r="AA60" s="9"/>
    </row>
    <row r="61" spans="10:27" x14ac:dyDescent="0.25">
      <c r="J61" s="8">
        <v>46081</v>
      </c>
      <c r="K61" s="9">
        <v>143</v>
      </c>
      <c r="L61" s="9">
        <f>IF(Data!O62-4&gt;0,Data!O62-4,0)+L60</f>
        <v>0</v>
      </c>
      <c r="M61" s="9"/>
      <c r="N61" s="9"/>
      <c r="O61" s="9"/>
      <c r="P61" s="9"/>
      <c r="Q61" s="9"/>
      <c r="R61" s="9"/>
      <c r="S61" s="9"/>
      <c r="T61" s="9">
        <f>IF(Data!O62&gt;0,Data!O62,0)+T60</f>
        <v>0</v>
      </c>
      <c r="U61" s="9"/>
      <c r="V61" s="9"/>
      <c r="W61" s="9"/>
      <c r="X61" s="9"/>
      <c r="Y61" s="9"/>
      <c r="Z61" s="9"/>
      <c r="AA61" s="9"/>
    </row>
    <row r="62" spans="10:27" x14ac:dyDescent="0.25">
      <c r="J62" s="8">
        <v>46082</v>
      </c>
      <c r="K62" s="9">
        <v>143</v>
      </c>
      <c r="L62" s="9">
        <f>IF(Data!O63-4&gt;0,Data!O63-4,0)+L61</f>
        <v>0</v>
      </c>
      <c r="M62" s="9"/>
      <c r="N62" s="9"/>
      <c r="O62" s="9"/>
      <c r="P62" s="9"/>
      <c r="Q62" s="9"/>
      <c r="R62" s="9"/>
      <c r="S62" s="9"/>
      <c r="T62" s="9">
        <f>IF(Data!O63&gt;0,Data!O63,0)+T61</f>
        <v>0</v>
      </c>
      <c r="U62" s="9"/>
      <c r="V62" s="9"/>
      <c r="W62" s="9"/>
      <c r="X62" s="9"/>
      <c r="Y62" s="9"/>
      <c r="Z62" s="9"/>
      <c r="AA62" s="9"/>
    </row>
    <row r="63" spans="10:27" x14ac:dyDescent="0.25">
      <c r="J63" s="8">
        <v>46083</v>
      </c>
      <c r="K63" s="9">
        <v>143</v>
      </c>
      <c r="L63" s="9">
        <f>IF(Data!O64-4&gt;0,Data!O64-4,0)+L62</f>
        <v>0</v>
      </c>
      <c r="M63" s="9"/>
      <c r="N63" s="9"/>
      <c r="O63" s="9"/>
      <c r="P63" s="9"/>
      <c r="Q63" s="9"/>
      <c r="R63" s="9"/>
      <c r="S63" s="9"/>
      <c r="T63" s="9">
        <f>IF(Data!O64&gt;0,Data!O64,0)+T62</f>
        <v>0</v>
      </c>
      <c r="U63" s="9"/>
      <c r="V63" s="9"/>
      <c r="W63" s="9"/>
      <c r="X63" s="9"/>
      <c r="Y63" s="9"/>
      <c r="Z63" s="9"/>
      <c r="AA63" s="9"/>
    </row>
    <row r="64" spans="10:27" x14ac:dyDescent="0.25">
      <c r="J64" s="8">
        <v>46084</v>
      </c>
      <c r="K64" s="9">
        <v>143</v>
      </c>
      <c r="L64" s="9">
        <f>IF(Data!O65-4&gt;0,Data!O65-4,0)+L63</f>
        <v>0</v>
      </c>
      <c r="M64" s="9"/>
      <c r="N64" s="9"/>
      <c r="O64" s="9"/>
      <c r="P64" s="9"/>
      <c r="Q64" s="9"/>
      <c r="R64" s="9"/>
      <c r="S64" s="9"/>
      <c r="T64" s="9">
        <f>IF(Data!O65&gt;0,Data!O65,0)+T63</f>
        <v>0</v>
      </c>
      <c r="U64" s="9"/>
      <c r="V64" s="9"/>
      <c r="W64" s="9"/>
      <c r="X64" s="9"/>
      <c r="Y64" s="9"/>
      <c r="Z64" s="9"/>
      <c r="AA64" s="9"/>
    </row>
    <row r="65" spans="10:27" x14ac:dyDescent="0.25">
      <c r="J65" s="8">
        <v>46085</v>
      </c>
      <c r="K65" s="9">
        <v>143</v>
      </c>
      <c r="L65" s="9">
        <f>IF(Data!O66-4&gt;0,Data!O66-4,0)+L64</f>
        <v>0</v>
      </c>
      <c r="M65" s="9"/>
      <c r="N65" s="9"/>
      <c r="O65" s="9"/>
      <c r="P65" s="9"/>
      <c r="Q65" s="9"/>
      <c r="R65" s="9"/>
      <c r="S65" s="9"/>
      <c r="T65" s="9">
        <f>IF(Data!O66&gt;0,Data!O66,0)+T64</f>
        <v>0</v>
      </c>
      <c r="U65" s="9"/>
      <c r="V65" s="9"/>
      <c r="W65" s="9"/>
      <c r="X65" s="9"/>
      <c r="Y65" s="9"/>
      <c r="Z65" s="9"/>
      <c r="AA65" s="9"/>
    </row>
    <row r="66" spans="10:27" x14ac:dyDescent="0.25">
      <c r="J66" s="8">
        <v>46086</v>
      </c>
      <c r="K66" s="9">
        <v>143</v>
      </c>
      <c r="L66" s="9">
        <f>IF(Data!O67-4&gt;0,Data!O67-4,0)+L65</f>
        <v>0</v>
      </c>
      <c r="M66" s="9"/>
      <c r="N66" s="9"/>
      <c r="O66" s="9"/>
      <c r="P66" s="9"/>
      <c r="Q66" s="9"/>
      <c r="R66" s="9"/>
      <c r="S66" s="9"/>
      <c r="T66" s="9">
        <f>IF(Data!O67&gt;0,Data!O67,0)+T65</f>
        <v>0</v>
      </c>
      <c r="U66" s="9"/>
      <c r="V66" s="9"/>
      <c r="W66" s="9"/>
      <c r="X66" s="9"/>
      <c r="Y66" s="9"/>
      <c r="Z66" s="9"/>
      <c r="AA66" s="9"/>
    </row>
    <row r="67" spans="10:27" x14ac:dyDescent="0.25">
      <c r="J67" s="8">
        <v>46087</v>
      </c>
      <c r="K67" s="9">
        <v>143</v>
      </c>
      <c r="L67" s="9">
        <f>IF(Data!O68-4&gt;0,Data!O68-4,0)+L66</f>
        <v>0</v>
      </c>
      <c r="M67" s="9"/>
      <c r="N67" s="9"/>
      <c r="O67" s="9"/>
      <c r="P67" s="9"/>
      <c r="Q67" s="9"/>
      <c r="R67" s="9"/>
      <c r="S67" s="9"/>
      <c r="T67" s="9">
        <f>IF(Data!O68&gt;0,Data!O68,0)+T66</f>
        <v>0</v>
      </c>
      <c r="U67" s="9"/>
      <c r="V67" s="9"/>
      <c r="W67" s="9"/>
      <c r="X67" s="9"/>
      <c r="Y67" s="9"/>
      <c r="Z67" s="9"/>
      <c r="AA67" s="9"/>
    </row>
    <row r="68" spans="10:27" x14ac:dyDescent="0.25">
      <c r="J68" s="8">
        <v>46088</v>
      </c>
      <c r="K68" s="9">
        <v>143</v>
      </c>
      <c r="L68" s="9">
        <f>IF(Data!O69-4&gt;0,Data!O69-4,0)+L67</f>
        <v>0</v>
      </c>
      <c r="M68" s="9"/>
      <c r="N68" s="9"/>
      <c r="O68" s="9"/>
      <c r="P68" s="9"/>
      <c r="Q68" s="9"/>
      <c r="R68" s="9"/>
      <c r="S68" s="9"/>
      <c r="T68" s="9">
        <f>IF(Data!O69&gt;0,Data!O69,0)+T67</f>
        <v>0</v>
      </c>
      <c r="U68" s="9"/>
      <c r="V68" s="9"/>
      <c r="W68" s="9"/>
      <c r="X68" s="9"/>
      <c r="Y68" s="9"/>
      <c r="Z68" s="9"/>
      <c r="AA68" s="9"/>
    </row>
    <row r="69" spans="10:27" x14ac:dyDescent="0.25">
      <c r="J69" s="8">
        <v>46089</v>
      </c>
      <c r="K69" s="9">
        <v>143</v>
      </c>
      <c r="L69" s="9">
        <f>IF(Data!O70-4&gt;0,Data!O70-4,0)+L68</f>
        <v>0</v>
      </c>
      <c r="M69" s="9"/>
      <c r="N69" s="9"/>
      <c r="O69" s="9"/>
      <c r="P69" s="9"/>
      <c r="Q69" s="9"/>
      <c r="R69" s="9"/>
      <c r="S69" s="9"/>
      <c r="T69" s="9">
        <f>IF(Data!O70&gt;0,Data!O70,0)+T68</f>
        <v>0</v>
      </c>
      <c r="U69" s="9"/>
      <c r="V69" s="9"/>
      <c r="W69" s="9"/>
      <c r="X69" s="9"/>
      <c r="Y69" s="9"/>
      <c r="Z69" s="9"/>
      <c r="AA69" s="9"/>
    </row>
    <row r="70" spans="10:27" x14ac:dyDescent="0.25">
      <c r="J70" s="8">
        <v>46090</v>
      </c>
      <c r="K70" s="9">
        <v>143</v>
      </c>
      <c r="L70" s="9">
        <f>IF(Data!O71-4&gt;0,Data!O71-4,0)+L69</f>
        <v>0</v>
      </c>
      <c r="M70" s="9"/>
      <c r="N70" s="9"/>
      <c r="O70" s="9"/>
      <c r="P70" s="9"/>
      <c r="Q70" s="9"/>
      <c r="R70" s="9"/>
      <c r="S70" s="9"/>
      <c r="T70" s="9">
        <f>IF(Data!O71&gt;0,Data!O71,0)+T69</f>
        <v>0</v>
      </c>
      <c r="U70" s="9"/>
      <c r="V70" s="9"/>
      <c r="W70" s="9"/>
      <c r="X70" s="9"/>
      <c r="Y70" s="9"/>
      <c r="Z70" s="9"/>
      <c r="AA70" s="9"/>
    </row>
    <row r="71" spans="10:27" x14ac:dyDescent="0.25">
      <c r="J71" s="8">
        <v>46091</v>
      </c>
      <c r="K71" s="9">
        <v>143</v>
      </c>
      <c r="L71" s="9">
        <f>IF(Data!O72-4&gt;0,Data!O72-4,0)+L70</f>
        <v>0</v>
      </c>
      <c r="M71" s="9"/>
      <c r="N71" s="9"/>
      <c r="O71" s="9"/>
      <c r="P71" s="9"/>
      <c r="Q71" s="9"/>
      <c r="R71" s="9"/>
      <c r="S71" s="9"/>
      <c r="T71" s="9">
        <f>IF(Data!O72&gt;0,Data!O72,0)+T70</f>
        <v>0</v>
      </c>
      <c r="U71" s="9"/>
      <c r="V71" s="9"/>
      <c r="W71" s="9"/>
      <c r="X71" s="9"/>
      <c r="Y71" s="9"/>
      <c r="Z71" s="9"/>
      <c r="AA71" s="9"/>
    </row>
    <row r="72" spans="10:27" x14ac:dyDescent="0.25">
      <c r="J72" s="8">
        <v>46092</v>
      </c>
      <c r="K72" s="9">
        <v>143</v>
      </c>
      <c r="L72" s="9">
        <f>IF(Data!O73-4&gt;0,Data!O73-4,0)+L71</f>
        <v>0</v>
      </c>
      <c r="M72" s="9"/>
      <c r="N72" s="9"/>
      <c r="O72" s="9"/>
      <c r="P72" s="9"/>
      <c r="Q72" s="9"/>
      <c r="R72" s="9"/>
      <c r="S72" s="9"/>
      <c r="T72" s="9">
        <f>IF(Data!O73&gt;0,Data!O73,0)+T71</f>
        <v>0</v>
      </c>
      <c r="U72" s="9"/>
      <c r="V72" s="9"/>
      <c r="W72" s="9"/>
      <c r="X72" s="9"/>
      <c r="Y72" s="9"/>
      <c r="Z72" s="9"/>
      <c r="AA72" s="9"/>
    </row>
    <row r="73" spans="10:27" x14ac:dyDescent="0.25">
      <c r="J73" s="8">
        <v>46093</v>
      </c>
      <c r="K73" s="9">
        <v>143</v>
      </c>
      <c r="L73" s="9">
        <f>IF(Data!O74-4&gt;0,Data!O74-4,0)+L72</f>
        <v>0</v>
      </c>
      <c r="M73" s="9"/>
      <c r="N73" s="9"/>
      <c r="O73" s="9"/>
      <c r="P73" s="9"/>
      <c r="Q73" s="9"/>
      <c r="R73" s="9"/>
      <c r="S73" s="9"/>
      <c r="T73" s="9">
        <f>IF(Data!O74&gt;0,Data!O74,0)+T72</f>
        <v>0</v>
      </c>
      <c r="U73" s="9"/>
      <c r="V73" s="9"/>
      <c r="W73" s="9"/>
      <c r="X73" s="9"/>
      <c r="Y73" s="9"/>
      <c r="Z73" s="9"/>
      <c r="AA73" s="9"/>
    </row>
    <row r="74" spans="10:27" x14ac:dyDescent="0.25">
      <c r="J74" s="8">
        <v>46094</v>
      </c>
      <c r="K74" s="9">
        <v>143</v>
      </c>
      <c r="L74" s="9">
        <f>IF(Data!O75-4&gt;0,Data!O75-4,0)+L73</f>
        <v>0</v>
      </c>
      <c r="M74" s="9"/>
      <c r="N74" s="9"/>
      <c r="O74" s="9"/>
      <c r="P74" s="9"/>
      <c r="Q74" s="9"/>
      <c r="R74" s="9"/>
      <c r="S74" s="9"/>
      <c r="T74" s="9">
        <f>IF(Data!O75&gt;0,Data!O75,0)+T73</f>
        <v>0</v>
      </c>
      <c r="U74" s="9"/>
      <c r="V74" s="9"/>
      <c r="W74" s="9"/>
      <c r="X74" s="9"/>
      <c r="Y74" s="9"/>
      <c r="Z74" s="9"/>
      <c r="AA74" s="9"/>
    </row>
    <row r="75" spans="10:27" x14ac:dyDescent="0.25">
      <c r="J75" s="8">
        <v>46095</v>
      </c>
      <c r="K75" s="9">
        <v>143</v>
      </c>
      <c r="L75" s="9">
        <f>IF(Data!O76-4&gt;0,Data!O76-4,0)+L74</f>
        <v>0</v>
      </c>
      <c r="M75" s="9"/>
      <c r="N75" s="9"/>
      <c r="O75" s="9"/>
      <c r="P75" s="9"/>
      <c r="Q75" s="9"/>
      <c r="R75" s="9"/>
      <c r="S75" s="9"/>
      <c r="T75" s="9">
        <f>IF(Data!O76&gt;0,Data!O76,0)+T74</f>
        <v>0</v>
      </c>
      <c r="U75" s="9"/>
      <c r="V75" s="9"/>
      <c r="W75" s="9"/>
      <c r="X75" s="9"/>
      <c r="Y75" s="9"/>
      <c r="Z75" s="9"/>
      <c r="AA75" s="9"/>
    </row>
    <row r="76" spans="10:27" x14ac:dyDescent="0.25">
      <c r="J76" s="8">
        <v>46096</v>
      </c>
      <c r="K76" s="9">
        <v>143</v>
      </c>
      <c r="L76" s="9">
        <f>IF(Data!O77-4&gt;0,Data!O77-4,0)+L75</f>
        <v>0</v>
      </c>
      <c r="M76" s="9"/>
      <c r="N76" s="9"/>
      <c r="O76" s="9"/>
      <c r="P76" s="9"/>
      <c r="Q76" s="9"/>
      <c r="R76" s="9"/>
      <c r="S76" s="9"/>
      <c r="T76" s="9">
        <f>IF(Data!O77&gt;0,Data!O77,0)+T75</f>
        <v>0</v>
      </c>
      <c r="U76" s="9"/>
      <c r="V76" s="9"/>
      <c r="W76" s="9"/>
      <c r="X76" s="9"/>
      <c r="Y76" s="9"/>
      <c r="Z76" s="9"/>
      <c r="AA76" s="9"/>
    </row>
    <row r="77" spans="10:27" x14ac:dyDescent="0.25">
      <c r="J77" s="8">
        <v>46097</v>
      </c>
      <c r="K77" s="9">
        <v>143</v>
      </c>
      <c r="L77" s="9">
        <f>IF(Data!O78-4&gt;0,Data!O78-4,0)+L76</f>
        <v>0</v>
      </c>
      <c r="M77" s="9"/>
      <c r="N77" s="9"/>
      <c r="O77" s="9"/>
      <c r="P77" s="9"/>
      <c r="Q77" s="9"/>
      <c r="R77" s="9"/>
      <c r="S77" s="9"/>
      <c r="T77" s="9">
        <f>IF(Data!O78&gt;0,Data!O78,0)+T76</f>
        <v>0</v>
      </c>
      <c r="U77" s="9"/>
      <c r="V77" s="9"/>
      <c r="W77" s="9"/>
      <c r="X77" s="9"/>
      <c r="Y77" s="9"/>
      <c r="Z77" s="9"/>
      <c r="AA77" s="9"/>
    </row>
    <row r="78" spans="10:27" x14ac:dyDescent="0.25">
      <c r="J78" s="8">
        <v>46098</v>
      </c>
      <c r="K78" s="9">
        <v>143</v>
      </c>
      <c r="L78" s="9">
        <f>IF(Data!O79-4&gt;0,Data!O79-4,0)+L77</f>
        <v>0</v>
      </c>
      <c r="M78" s="9"/>
      <c r="N78" s="9"/>
      <c r="O78" s="9"/>
      <c r="P78" s="9"/>
      <c r="Q78" s="9"/>
      <c r="R78" s="9"/>
      <c r="S78" s="9"/>
      <c r="T78" s="9">
        <f>IF(Data!O79&gt;0,Data!O79,0)+T77</f>
        <v>0</v>
      </c>
      <c r="U78" s="9"/>
      <c r="V78" s="9"/>
      <c r="W78" s="9"/>
      <c r="X78" s="9"/>
      <c r="Y78" s="9"/>
      <c r="Z78" s="9"/>
      <c r="AA78" s="9"/>
    </row>
    <row r="79" spans="10:27" x14ac:dyDescent="0.25">
      <c r="J79" s="8">
        <v>46099</v>
      </c>
      <c r="K79" s="9">
        <v>143</v>
      </c>
      <c r="L79" s="9">
        <f>IF(Data!O80-4&gt;0,Data!O80-4,0)+L78</f>
        <v>0</v>
      </c>
      <c r="M79" s="9"/>
      <c r="N79" s="9"/>
      <c r="O79" s="9"/>
      <c r="P79" s="9"/>
      <c r="Q79" s="9"/>
      <c r="R79" s="9"/>
      <c r="S79" s="9"/>
      <c r="T79" s="9">
        <f>IF(Data!O80&gt;0,Data!O80,0)+T78</f>
        <v>0</v>
      </c>
      <c r="U79" s="9"/>
      <c r="V79" s="9"/>
      <c r="W79" s="9"/>
      <c r="X79" s="9"/>
      <c r="Y79" s="9"/>
      <c r="Z79" s="9"/>
      <c r="AA79" s="9"/>
    </row>
    <row r="80" spans="10:27" x14ac:dyDescent="0.25">
      <c r="J80" s="8">
        <v>46100</v>
      </c>
      <c r="K80" s="9">
        <v>143</v>
      </c>
      <c r="L80" s="9">
        <f>IF(Data!O81-4&gt;0,Data!O81-4,0)+L79</f>
        <v>0</v>
      </c>
      <c r="M80" s="9"/>
      <c r="N80" s="9"/>
      <c r="O80" s="9"/>
      <c r="P80" s="9"/>
      <c r="Q80" s="9"/>
      <c r="R80" s="9"/>
      <c r="S80" s="9"/>
      <c r="T80" s="9">
        <f>IF(Data!O81&gt;0,Data!O81,0)+T79</f>
        <v>0</v>
      </c>
      <c r="U80" s="9"/>
      <c r="V80" s="9"/>
      <c r="W80" s="9"/>
      <c r="X80" s="9"/>
      <c r="Y80" s="9"/>
      <c r="Z80" s="9"/>
      <c r="AA80" s="9"/>
    </row>
    <row r="81" spans="10:27" x14ac:dyDescent="0.25">
      <c r="J81" s="8">
        <v>46101</v>
      </c>
      <c r="K81" s="9">
        <v>143</v>
      </c>
      <c r="L81" s="9">
        <f>IF(Data!O82-4&gt;0,Data!O82-4,0)+L80</f>
        <v>0</v>
      </c>
      <c r="M81" s="9"/>
      <c r="N81" s="9"/>
      <c r="O81" s="9"/>
      <c r="P81" s="9"/>
      <c r="Q81" s="9"/>
      <c r="R81" s="9"/>
      <c r="S81" s="9"/>
      <c r="T81" s="9">
        <f>IF(Data!O82&gt;0,Data!O82,0)+T80</f>
        <v>0</v>
      </c>
      <c r="U81" s="9"/>
      <c r="V81" s="9"/>
      <c r="W81" s="9"/>
      <c r="X81" s="9"/>
      <c r="Y81" s="9"/>
      <c r="Z81" s="9"/>
      <c r="AA81" s="9"/>
    </row>
    <row r="82" spans="10:27" x14ac:dyDescent="0.25">
      <c r="J82" s="8">
        <v>46102</v>
      </c>
      <c r="K82" s="9">
        <v>143</v>
      </c>
      <c r="L82" s="9">
        <f>IF(Data!O83-4&gt;0,Data!O83-4,0)+L81</f>
        <v>0</v>
      </c>
      <c r="M82" s="9"/>
      <c r="N82" s="9"/>
      <c r="O82" s="9"/>
      <c r="P82" s="9"/>
      <c r="Q82" s="9"/>
      <c r="R82" s="9"/>
      <c r="S82" s="9"/>
      <c r="T82" s="9">
        <f>IF(Data!O83&gt;0,Data!O83,0)+T81</f>
        <v>0</v>
      </c>
      <c r="U82" s="9"/>
      <c r="V82" s="9"/>
      <c r="W82" s="9"/>
      <c r="X82" s="9"/>
      <c r="Y82" s="9"/>
      <c r="Z82" s="9"/>
      <c r="AA82" s="9"/>
    </row>
    <row r="83" spans="10:27" x14ac:dyDescent="0.25">
      <c r="J83" s="8">
        <v>46103</v>
      </c>
      <c r="K83" s="9">
        <v>143</v>
      </c>
      <c r="L83" s="9">
        <f>IF(Data!O84-4&gt;0,Data!O84-4,0)+L82</f>
        <v>0</v>
      </c>
      <c r="M83" s="9"/>
      <c r="N83" s="9"/>
      <c r="O83" s="9"/>
      <c r="P83" s="9"/>
      <c r="Q83" s="9"/>
      <c r="R83" s="9"/>
      <c r="S83" s="9"/>
      <c r="T83" s="9">
        <f>IF(Data!O84&gt;0,Data!O84,0)+T82</f>
        <v>0</v>
      </c>
      <c r="U83" s="9"/>
      <c r="V83" s="9"/>
      <c r="W83" s="9"/>
      <c r="X83" s="9"/>
      <c r="Y83" s="9"/>
      <c r="Z83" s="9"/>
      <c r="AA83" s="9"/>
    </row>
    <row r="84" spans="10:27" x14ac:dyDescent="0.25">
      <c r="J84" s="8">
        <v>46104</v>
      </c>
      <c r="K84" s="9">
        <v>143</v>
      </c>
      <c r="L84" s="9">
        <f>IF(Data!O85-4&gt;0,Data!O85-4,0)+L83</f>
        <v>0</v>
      </c>
      <c r="M84" s="9"/>
      <c r="N84" s="9"/>
      <c r="O84" s="9"/>
      <c r="P84" s="9"/>
      <c r="Q84" s="9"/>
      <c r="R84" s="9"/>
      <c r="S84" s="9"/>
      <c r="T84" s="9">
        <f>IF(Data!O85&gt;0,Data!O85,0)+T83</f>
        <v>0</v>
      </c>
      <c r="U84" s="9"/>
      <c r="V84" s="9"/>
      <c r="W84" s="9"/>
      <c r="X84" s="9"/>
      <c r="Y84" s="9"/>
      <c r="Z84" s="9"/>
      <c r="AA84" s="9"/>
    </row>
    <row r="85" spans="10:27" x14ac:dyDescent="0.25">
      <c r="J85" s="8">
        <v>46105</v>
      </c>
      <c r="K85" s="9">
        <v>143</v>
      </c>
      <c r="L85" s="9">
        <f>IF(Data!O86-4&gt;0,Data!O86-4,0)+L84</f>
        <v>0</v>
      </c>
      <c r="M85" s="9"/>
      <c r="N85" s="9"/>
      <c r="O85" s="9"/>
      <c r="P85" s="9"/>
      <c r="Q85" s="9"/>
      <c r="R85" s="9"/>
      <c r="S85" s="9"/>
      <c r="T85" s="9">
        <f>IF(Data!O86&gt;0,Data!O86,0)+T84</f>
        <v>0</v>
      </c>
      <c r="U85" s="9"/>
      <c r="V85" s="9"/>
      <c r="W85" s="9"/>
      <c r="X85" s="9"/>
      <c r="Y85" s="9"/>
      <c r="Z85" s="9"/>
      <c r="AA85" s="9"/>
    </row>
    <row r="86" spans="10:27" x14ac:dyDescent="0.25">
      <c r="J86" s="8">
        <v>46106</v>
      </c>
      <c r="K86" s="9">
        <v>143</v>
      </c>
      <c r="L86" s="9">
        <f>IF(Data!O87-4&gt;0,Data!O87-4,0)+L85</f>
        <v>0</v>
      </c>
      <c r="M86" s="9"/>
      <c r="N86" s="9"/>
      <c r="O86" s="9"/>
      <c r="P86" s="9"/>
      <c r="Q86" s="9"/>
      <c r="R86" s="9"/>
      <c r="S86" s="9"/>
      <c r="T86" s="9">
        <f>IF(Data!O87&gt;0,Data!O87,0)+T85</f>
        <v>0</v>
      </c>
      <c r="U86" s="9"/>
      <c r="V86" s="9"/>
      <c r="W86" s="9"/>
      <c r="X86" s="9"/>
      <c r="Y86" s="9"/>
      <c r="Z86" s="9"/>
      <c r="AA86" s="9"/>
    </row>
    <row r="87" spans="10:27" x14ac:dyDescent="0.25">
      <c r="J87" s="8">
        <v>46107</v>
      </c>
      <c r="K87" s="9">
        <v>143</v>
      </c>
      <c r="L87" s="9">
        <f>IF(Data!O88-4&gt;0,Data!O88-4,0)+L86</f>
        <v>0</v>
      </c>
      <c r="M87" s="9"/>
      <c r="N87" s="9"/>
      <c r="O87" s="9"/>
      <c r="P87" s="9"/>
      <c r="Q87" s="9"/>
      <c r="R87" s="9"/>
      <c r="S87" s="9"/>
      <c r="T87" s="9">
        <f>IF(Data!O88&gt;0,Data!O88,0)+T86</f>
        <v>0</v>
      </c>
      <c r="U87" s="9"/>
      <c r="V87" s="9"/>
      <c r="W87" s="9"/>
      <c r="X87" s="9"/>
      <c r="Y87" s="9"/>
      <c r="Z87" s="9"/>
      <c r="AA87" s="9"/>
    </row>
    <row r="88" spans="10:27" x14ac:dyDescent="0.25">
      <c r="J88" s="8">
        <v>46108</v>
      </c>
      <c r="K88" s="9">
        <v>143</v>
      </c>
      <c r="L88" s="9">
        <f>IF(Data!O89-4&gt;0,Data!O89-4,0)+L87</f>
        <v>0</v>
      </c>
      <c r="M88" s="9"/>
      <c r="N88" s="9"/>
      <c r="O88" s="9"/>
      <c r="P88" s="9"/>
      <c r="Q88" s="9"/>
      <c r="R88" s="9"/>
      <c r="S88" s="9"/>
      <c r="T88" s="9">
        <f>IF(Data!O89&gt;0,Data!O89,0)+T87</f>
        <v>0</v>
      </c>
      <c r="U88" s="9"/>
      <c r="V88" s="9"/>
      <c r="W88" s="9"/>
      <c r="X88" s="9"/>
      <c r="Y88" s="9"/>
      <c r="Z88" s="9"/>
      <c r="AA88" s="9"/>
    </row>
    <row r="89" spans="10:27" x14ac:dyDescent="0.25">
      <c r="J89" s="8">
        <v>46109</v>
      </c>
      <c r="K89" s="9">
        <v>143</v>
      </c>
      <c r="L89" s="9">
        <f>IF(Data!O90-4&gt;0,Data!O90-4,0)+L88</f>
        <v>0</v>
      </c>
      <c r="M89" s="9"/>
      <c r="N89" s="9"/>
      <c r="O89" s="9"/>
      <c r="P89" s="9"/>
      <c r="Q89" s="9"/>
      <c r="R89" s="9"/>
      <c r="S89" s="9"/>
      <c r="T89" s="9">
        <f>IF(Data!O90&gt;0,Data!O90,0)+T88</f>
        <v>0</v>
      </c>
      <c r="U89" s="9"/>
      <c r="V89" s="9"/>
      <c r="W89" s="9"/>
      <c r="X89" s="9"/>
      <c r="Y89" s="9"/>
      <c r="Z89" s="9"/>
      <c r="AA89" s="9"/>
    </row>
    <row r="90" spans="10:27" x14ac:dyDescent="0.25">
      <c r="J90" s="8">
        <v>46110</v>
      </c>
      <c r="K90" s="9">
        <v>143</v>
      </c>
      <c r="L90" s="9">
        <f>IF(Data!O91-4&gt;0,Data!O91-4,0)+L89</f>
        <v>0</v>
      </c>
      <c r="M90" s="9"/>
      <c r="N90" s="9"/>
      <c r="O90" s="9"/>
      <c r="P90" s="9"/>
      <c r="Q90" s="9"/>
      <c r="R90" s="9"/>
      <c r="S90" s="9"/>
      <c r="T90" s="9">
        <f>IF(Data!O91&gt;0,Data!O91,0)+T89</f>
        <v>0</v>
      </c>
      <c r="U90" s="9"/>
      <c r="V90" s="9"/>
      <c r="W90" s="9"/>
      <c r="X90" s="9"/>
      <c r="Y90" s="9"/>
      <c r="Z90" s="9"/>
      <c r="AA90" s="9"/>
    </row>
    <row r="91" spans="10:27" x14ac:dyDescent="0.25">
      <c r="J91" s="8">
        <v>46111</v>
      </c>
      <c r="K91" s="9">
        <v>143</v>
      </c>
      <c r="L91" s="9">
        <f>IF(Data!O92-4&gt;0,Data!O92-4,0)+L90</f>
        <v>0</v>
      </c>
      <c r="M91" s="9"/>
      <c r="N91" s="9"/>
      <c r="O91" s="9"/>
      <c r="P91" s="9"/>
      <c r="Q91" s="9"/>
      <c r="R91" s="9"/>
      <c r="S91" s="9"/>
      <c r="T91" s="9">
        <f>IF(Data!O92&gt;0,Data!O92,0)+T90</f>
        <v>0</v>
      </c>
      <c r="U91" s="9"/>
      <c r="V91" s="9"/>
      <c r="W91" s="9"/>
      <c r="X91" s="9"/>
      <c r="Y91" s="9"/>
      <c r="Z91" s="9"/>
      <c r="AA91" s="9"/>
    </row>
    <row r="92" spans="10:27" x14ac:dyDescent="0.25">
      <c r="J92" s="8">
        <v>46112</v>
      </c>
      <c r="K92" s="9">
        <v>143</v>
      </c>
      <c r="L92" s="9">
        <f>IF(Data!O93-4&gt;0,Data!O93-4,0)+L91</f>
        <v>0</v>
      </c>
      <c r="M92" s="9"/>
      <c r="N92" s="9"/>
      <c r="O92" s="9"/>
      <c r="P92" s="9"/>
      <c r="Q92" s="9"/>
      <c r="R92" s="9"/>
      <c r="S92" s="9"/>
      <c r="T92" s="9">
        <f>IF(Data!O93&gt;0,Data!O93,0)+T91</f>
        <v>0</v>
      </c>
      <c r="U92" s="9"/>
      <c r="V92" s="9"/>
      <c r="W92" s="9"/>
      <c r="X92" s="9"/>
      <c r="Y92" s="9"/>
      <c r="Z92" s="9"/>
      <c r="AA92" s="9"/>
    </row>
  </sheetData>
  <conditionalFormatting sqref="B25:H25">
    <cfRule type="cellIs" dxfId="3" priority="2" operator="greaterThan">
      <formula>143</formula>
    </cfRule>
  </conditionalFormatting>
  <conditionalFormatting sqref="B28:H28">
    <cfRule type="cellIs" dxfId="2" priority="1" operator="greaterThan">
      <formula>143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B64B2-3022-45B0-84EB-029C279C3E29}">
  <dimension ref="A1:AA92"/>
  <sheetViews>
    <sheetView zoomScale="80" zoomScaleNormal="80" workbookViewId="0">
      <selection activeCell="C31" sqref="C31"/>
    </sheetView>
  </sheetViews>
  <sheetFormatPr baseColWidth="10" defaultColWidth="11.42578125" defaultRowHeight="15" x14ac:dyDescent="0.25"/>
  <cols>
    <col min="1" max="1" width="12.5703125" customWidth="1"/>
    <col min="10" max="10" width="12.28515625" bestFit="1" customWidth="1"/>
    <col min="11" max="11" width="12.28515625" customWidth="1"/>
    <col min="12" max="12" width="11.42578125" customWidth="1"/>
    <col min="20" max="20" width="11.28515625" customWidth="1"/>
    <col min="21" max="21" width="13.140625" bestFit="1" customWidth="1"/>
  </cols>
  <sheetData>
    <row r="1" spans="10:27" ht="30" x14ac:dyDescent="0.25">
      <c r="J1" s="7" t="s">
        <v>1</v>
      </c>
      <c r="K1" s="7"/>
      <c r="L1" s="7">
        <f>Data!J3</f>
        <v>0</v>
      </c>
      <c r="M1" s="7">
        <f>Data!K3</f>
        <v>0</v>
      </c>
      <c r="N1" s="7">
        <f>Data!L3</f>
        <v>0</v>
      </c>
      <c r="O1" s="7">
        <f>Data!M3</f>
        <v>0</v>
      </c>
      <c r="P1" s="7">
        <f>Data!N3</f>
        <v>0</v>
      </c>
      <c r="Q1" s="7"/>
      <c r="R1" s="7"/>
      <c r="S1" s="7"/>
      <c r="T1" s="12">
        <f>L1</f>
        <v>0</v>
      </c>
      <c r="U1" s="12">
        <f t="shared" ref="U1:X2" si="0">M1</f>
        <v>0</v>
      </c>
      <c r="V1" s="12">
        <f t="shared" si="0"/>
        <v>0</v>
      </c>
      <c r="W1" s="12">
        <f t="shared" si="0"/>
        <v>0</v>
      </c>
      <c r="X1" s="12">
        <f t="shared" si="0"/>
        <v>0</v>
      </c>
      <c r="Y1" s="12"/>
      <c r="Z1" s="12"/>
      <c r="AA1" s="12"/>
    </row>
    <row r="2" spans="10:27" x14ac:dyDescent="0.25">
      <c r="J2" s="7" t="s">
        <v>0</v>
      </c>
      <c r="K2" s="7" t="s">
        <v>3</v>
      </c>
      <c r="L2" s="7" t="e">
        <f ca="1">_xlfn.CONCAT(Data!J1," (",Data!J2,")")</f>
        <v>#NAME?</v>
      </c>
      <c r="M2" s="7" t="e">
        <f ca="1">_xlfn.CONCAT(Data!K1," (",Data!K2,")")</f>
        <v>#NAME?</v>
      </c>
      <c r="N2" s="7" t="e">
        <f ca="1">_xlfn.CONCAT(Data!L1," (",Data!L2,")")</f>
        <v>#NAME?</v>
      </c>
      <c r="O2" s="7" t="e">
        <f ca="1">_xlfn.CONCAT(Data!M1," (",Data!M2,")")</f>
        <v>#NAME?</v>
      </c>
      <c r="P2" s="7" t="e">
        <f ca="1">_xlfn.CONCAT(Data!N1," (",Data!N2,")")</f>
        <v>#NAME?</v>
      </c>
      <c r="Q2" s="7"/>
      <c r="R2" s="7"/>
      <c r="S2" s="7"/>
      <c r="T2" s="12" t="e">
        <f ca="1">L2</f>
        <v>#NAME?</v>
      </c>
      <c r="U2" s="12" t="e">
        <f t="shared" ca="1" si="0"/>
        <v>#NAME?</v>
      </c>
      <c r="V2" s="12" t="e">
        <f t="shared" ca="1" si="0"/>
        <v>#NAME?</v>
      </c>
      <c r="W2" s="12" t="e">
        <f t="shared" ca="1" si="0"/>
        <v>#NAME?</v>
      </c>
      <c r="X2" s="12" t="e">
        <f t="shared" ca="1" si="0"/>
        <v>#NAME?</v>
      </c>
      <c r="Y2" s="12"/>
      <c r="Z2" s="12"/>
      <c r="AA2" s="12"/>
    </row>
    <row r="3" spans="10:27" x14ac:dyDescent="0.25">
      <c r="J3" s="8">
        <v>46023</v>
      </c>
      <c r="K3" s="9">
        <v>143</v>
      </c>
      <c r="L3" s="9">
        <f>IF(Data!J4-4&gt;0,Data!J4-4,0)</f>
        <v>0</v>
      </c>
      <c r="M3" s="9">
        <f>IF(Data!K4-4&gt;0,Data!K4-4,0)</f>
        <v>0</v>
      </c>
      <c r="N3" s="9">
        <f>IF(Data!L4-4&gt;0,Data!L4-4,0)</f>
        <v>0</v>
      </c>
      <c r="O3" s="9">
        <f>IF(Data!M4-4&gt;0,Data!M4-4,0)</f>
        <v>0</v>
      </c>
      <c r="P3" s="9">
        <f>IF(Data!N4-4&gt;0,Data!N4-4,0)</f>
        <v>0</v>
      </c>
      <c r="Q3" s="9"/>
      <c r="R3" s="9"/>
      <c r="S3" s="9"/>
      <c r="T3" s="9">
        <f>IF(Data!J4&gt;0,Data!J4,0)</f>
        <v>0</v>
      </c>
      <c r="U3" s="9">
        <f>IF(Data!K4&gt;0,Data!K4,0)</f>
        <v>0</v>
      </c>
      <c r="V3" s="9">
        <f>IF(Data!L4&gt;0,Data!L4,0)</f>
        <v>0</v>
      </c>
      <c r="W3" s="9">
        <f>IF(Data!M4&gt;0,Data!M4,0)</f>
        <v>0</v>
      </c>
      <c r="X3" s="9">
        <f>IF(Data!N4&gt;0,Data!N4,0)</f>
        <v>0</v>
      </c>
      <c r="Y3" s="9"/>
      <c r="Z3" s="9"/>
      <c r="AA3" s="9"/>
    </row>
    <row r="4" spans="10:27" x14ac:dyDescent="0.25">
      <c r="J4" s="8">
        <v>46024</v>
      </c>
      <c r="K4" s="9">
        <v>143</v>
      </c>
      <c r="L4" s="9">
        <f>IF(Data!J5-4&gt;0,Data!J5-4,0)+L3</f>
        <v>0</v>
      </c>
      <c r="M4" s="9">
        <f>IF(Data!K5-4&gt;0,Data!K5-4,0)+M3</f>
        <v>0</v>
      </c>
      <c r="N4" s="9">
        <f>IF(Data!L5-4&gt;0,Data!L5-4,0)+N3</f>
        <v>0</v>
      </c>
      <c r="O4" s="9">
        <f>IF(Data!M5-4&gt;0,Data!M5-4,0)+O3</f>
        <v>0</v>
      </c>
      <c r="P4" s="9">
        <f>IF(Data!N5-4&gt;0,Data!N5-4,0)+P3</f>
        <v>0</v>
      </c>
      <c r="Q4" s="9"/>
      <c r="R4" s="9"/>
      <c r="S4" s="9"/>
      <c r="T4" s="9">
        <f>IF(Data!J5&gt;0,Data!J5,0)+T3</f>
        <v>0</v>
      </c>
      <c r="U4" s="9">
        <f>IF(Data!K5&gt;0,Data!K5,0)+U3</f>
        <v>0</v>
      </c>
      <c r="V4" s="9">
        <f>IF(Data!L5&gt;0,Data!L5,0)+V3</f>
        <v>0</v>
      </c>
      <c r="W4" s="9">
        <f>IF(Data!M5&gt;0,Data!M5,0)+W3</f>
        <v>0</v>
      </c>
      <c r="X4" s="9">
        <f>IF(Data!N5&gt;0,Data!N5,0)+X3</f>
        <v>0</v>
      </c>
      <c r="Y4" s="9"/>
      <c r="Z4" s="9"/>
      <c r="AA4" s="9"/>
    </row>
    <row r="5" spans="10:27" x14ac:dyDescent="0.25">
      <c r="J5" s="8">
        <v>46025</v>
      </c>
      <c r="K5" s="9">
        <v>143</v>
      </c>
      <c r="L5" s="9">
        <f>IF(Data!J6-4&gt;0,Data!J6-4,0)+L4</f>
        <v>0</v>
      </c>
      <c r="M5" s="9">
        <f>IF(Data!K6-4&gt;0,Data!K6-4,0)+M4</f>
        <v>0</v>
      </c>
      <c r="N5" s="9">
        <f>IF(Data!L6-4&gt;0,Data!L6-4,0)+N4</f>
        <v>0</v>
      </c>
      <c r="O5" s="9">
        <f>IF(Data!M6-4&gt;0,Data!M6-4,0)+O4</f>
        <v>0</v>
      </c>
      <c r="P5" s="9">
        <f>IF(Data!N6-4&gt;0,Data!N6-4,0)+P4</f>
        <v>0</v>
      </c>
      <c r="Q5" s="9"/>
      <c r="R5" s="9"/>
      <c r="S5" s="9"/>
      <c r="T5" s="9">
        <f>IF(Data!J6&gt;0,Data!J6,0)+T4</f>
        <v>0</v>
      </c>
      <c r="U5" s="9">
        <f>IF(Data!K6&gt;0,Data!K6,0)+U4</f>
        <v>0</v>
      </c>
      <c r="V5" s="9">
        <f>IF(Data!L6&gt;0,Data!L6,0)+V4</f>
        <v>0</v>
      </c>
      <c r="W5" s="9">
        <f>IF(Data!M6&gt;0,Data!M6,0)+W4</f>
        <v>0</v>
      </c>
      <c r="X5" s="9">
        <f>IF(Data!N6&gt;0,Data!N6,0)+X4</f>
        <v>0</v>
      </c>
      <c r="Y5" s="9"/>
      <c r="Z5" s="9"/>
      <c r="AA5" s="9"/>
    </row>
    <row r="6" spans="10:27" x14ac:dyDescent="0.25">
      <c r="J6" s="8">
        <v>46026</v>
      </c>
      <c r="K6" s="9">
        <v>143</v>
      </c>
      <c r="L6" s="9">
        <f>IF(Data!J7-4&gt;0,Data!J7-4,0)+L5</f>
        <v>0</v>
      </c>
      <c r="M6" s="9">
        <f>IF(Data!K7-4&gt;0,Data!K7-4,0)+M5</f>
        <v>0</v>
      </c>
      <c r="N6" s="9">
        <f>IF(Data!L7-4&gt;0,Data!L7-4,0)+N5</f>
        <v>0</v>
      </c>
      <c r="O6" s="9">
        <f>IF(Data!M7-4&gt;0,Data!M7-4,0)+O5</f>
        <v>0</v>
      </c>
      <c r="P6" s="9">
        <f>IF(Data!N7-4&gt;0,Data!N7-4,0)+P5</f>
        <v>0</v>
      </c>
      <c r="Q6" s="9"/>
      <c r="R6" s="9"/>
      <c r="S6" s="9"/>
      <c r="T6" s="9">
        <f>IF(Data!J7&gt;0,Data!J7,0)+T5</f>
        <v>0</v>
      </c>
      <c r="U6" s="9">
        <f>IF(Data!K7&gt;0,Data!K7,0)+U5</f>
        <v>0</v>
      </c>
      <c r="V6" s="9">
        <f>IF(Data!L7&gt;0,Data!L7,0)+V5</f>
        <v>0</v>
      </c>
      <c r="W6" s="9">
        <f>IF(Data!M7&gt;0,Data!M7,0)+W5</f>
        <v>0</v>
      </c>
      <c r="X6" s="9">
        <f>IF(Data!N7&gt;0,Data!N7,0)+X5</f>
        <v>0</v>
      </c>
      <c r="Y6" s="9"/>
      <c r="Z6" s="9"/>
      <c r="AA6" s="9"/>
    </row>
    <row r="7" spans="10:27" x14ac:dyDescent="0.25">
      <c r="J7" s="8">
        <v>46027</v>
      </c>
      <c r="K7" s="9">
        <v>143</v>
      </c>
      <c r="L7" s="9">
        <f>IF(Data!J8-4&gt;0,Data!J8-4,0)+L6</f>
        <v>0</v>
      </c>
      <c r="M7" s="9">
        <f>IF(Data!K8-4&gt;0,Data!K8-4,0)+M6</f>
        <v>0</v>
      </c>
      <c r="N7" s="9">
        <f>IF(Data!L8-4&gt;0,Data!L8-4,0)+N6</f>
        <v>0</v>
      </c>
      <c r="O7" s="9">
        <f>IF(Data!M8-4&gt;0,Data!M8-4,0)+O6</f>
        <v>0</v>
      </c>
      <c r="P7" s="9">
        <f>IF(Data!N8-4&gt;0,Data!N8-4,0)+P6</f>
        <v>0</v>
      </c>
      <c r="Q7" s="9"/>
      <c r="R7" s="9"/>
      <c r="S7" s="9"/>
      <c r="T7" s="9">
        <f>IF(Data!J8&gt;0,Data!J8,0)+T6</f>
        <v>0</v>
      </c>
      <c r="U7" s="9">
        <f>IF(Data!K8&gt;0,Data!K8,0)+U6</f>
        <v>0</v>
      </c>
      <c r="V7" s="9">
        <f>IF(Data!L8&gt;0,Data!L8,0)+V6</f>
        <v>0</v>
      </c>
      <c r="W7" s="9">
        <f>IF(Data!M8&gt;0,Data!M8,0)+W6</f>
        <v>0</v>
      </c>
      <c r="X7" s="9">
        <f>IF(Data!N8&gt;0,Data!N8,0)+X6</f>
        <v>0</v>
      </c>
      <c r="Y7" s="9"/>
      <c r="Z7" s="9"/>
      <c r="AA7" s="9"/>
    </row>
    <row r="8" spans="10:27" x14ac:dyDescent="0.25">
      <c r="J8" s="8">
        <v>46028</v>
      </c>
      <c r="K8" s="9">
        <v>143</v>
      </c>
      <c r="L8" s="9">
        <f>IF(Data!J9-4&gt;0,Data!J9-4,0)+L7</f>
        <v>0</v>
      </c>
      <c r="M8" s="9">
        <f>IF(Data!K9-4&gt;0,Data!K9-4,0)+M7</f>
        <v>0</v>
      </c>
      <c r="N8" s="9">
        <f>IF(Data!L9-4&gt;0,Data!L9-4,0)+N7</f>
        <v>0</v>
      </c>
      <c r="O8" s="9">
        <f>IF(Data!M9-4&gt;0,Data!M9-4,0)+O7</f>
        <v>0</v>
      </c>
      <c r="P8" s="9">
        <f>IF(Data!N9-4&gt;0,Data!N9-4,0)+P7</f>
        <v>0</v>
      </c>
      <c r="Q8" s="9"/>
      <c r="R8" s="9"/>
      <c r="S8" s="9"/>
      <c r="T8" s="9">
        <f>IF(Data!J9&gt;0,Data!J9,0)+T7</f>
        <v>0</v>
      </c>
      <c r="U8" s="9">
        <f>IF(Data!K9&gt;0,Data!K9,0)+U7</f>
        <v>0</v>
      </c>
      <c r="V8" s="9">
        <f>IF(Data!L9&gt;0,Data!L9,0)+V7</f>
        <v>0</v>
      </c>
      <c r="W8" s="9">
        <f>IF(Data!M9&gt;0,Data!M9,0)+W7</f>
        <v>0</v>
      </c>
      <c r="X8" s="9">
        <f>IF(Data!N9&gt;0,Data!N9,0)+X7</f>
        <v>0</v>
      </c>
      <c r="Y8" s="9"/>
      <c r="Z8" s="9"/>
      <c r="AA8" s="9"/>
    </row>
    <row r="9" spans="10:27" x14ac:dyDescent="0.25">
      <c r="J9" s="8">
        <v>46029</v>
      </c>
      <c r="K9" s="9">
        <v>143</v>
      </c>
      <c r="L9" s="9">
        <f>IF(Data!J10-4&gt;0,Data!J10-4,0)+L8</f>
        <v>0</v>
      </c>
      <c r="M9" s="9">
        <f>IF(Data!K10-4&gt;0,Data!K10-4,0)+M8</f>
        <v>0</v>
      </c>
      <c r="N9" s="9">
        <f>IF(Data!L10-4&gt;0,Data!L10-4,0)+N8</f>
        <v>0</v>
      </c>
      <c r="O9" s="9">
        <f>IF(Data!M10-4&gt;0,Data!M10-4,0)+O8</f>
        <v>0</v>
      </c>
      <c r="P9" s="9">
        <f>IF(Data!N10-4&gt;0,Data!N10-4,0)+P8</f>
        <v>0</v>
      </c>
      <c r="Q9" s="9"/>
      <c r="R9" s="9"/>
      <c r="S9" s="9"/>
      <c r="T9" s="9">
        <f>IF(Data!J10&gt;0,Data!J10,0)+T8</f>
        <v>0</v>
      </c>
      <c r="U9" s="9">
        <f>IF(Data!K10&gt;0,Data!K10,0)+U8</f>
        <v>0</v>
      </c>
      <c r="V9" s="9">
        <f>IF(Data!L10&gt;0,Data!L10,0)+V8</f>
        <v>0</v>
      </c>
      <c r="W9" s="9">
        <f>IF(Data!M10&gt;0,Data!M10,0)+W8</f>
        <v>0</v>
      </c>
      <c r="X9" s="9">
        <f>IF(Data!N10&gt;0,Data!N10,0)+X8</f>
        <v>0</v>
      </c>
      <c r="Y9" s="9"/>
      <c r="Z9" s="9"/>
      <c r="AA9" s="9"/>
    </row>
    <row r="10" spans="10:27" x14ac:dyDescent="0.25">
      <c r="J10" s="8">
        <v>46030</v>
      </c>
      <c r="K10" s="9">
        <v>143</v>
      </c>
      <c r="L10" s="9">
        <f>IF(Data!J11-4&gt;0,Data!J11-4,0)+L9</f>
        <v>0</v>
      </c>
      <c r="M10" s="9">
        <f>IF(Data!K11-4&gt;0,Data!K11-4,0)+M9</f>
        <v>0</v>
      </c>
      <c r="N10" s="9">
        <f>IF(Data!L11-4&gt;0,Data!L11-4,0)+N9</f>
        <v>0</v>
      </c>
      <c r="O10" s="9">
        <f>IF(Data!M11-4&gt;0,Data!M11-4,0)+O9</f>
        <v>0</v>
      </c>
      <c r="P10" s="9">
        <f>IF(Data!N11-4&gt;0,Data!N11-4,0)+P9</f>
        <v>0</v>
      </c>
      <c r="Q10" s="9"/>
      <c r="R10" s="9"/>
      <c r="S10" s="9"/>
      <c r="T10" s="9">
        <f>IF(Data!J11&gt;0,Data!J11,0)+T9</f>
        <v>0</v>
      </c>
      <c r="U10" s="9">
        <f>IF(Data!K11&gt;0,Data!K11,0)+U9</f>
        <v>0</v>
      </c>
      <c r="V10" s="9">
        <f>IF(Data!L11&gt;0,Data!L11,0)+V9</f>
        <v>0</v>
      </c>
      <c r="W10" s="9">
        <f>IF(Data!M11&gt;0,Data!M11,0)+W9</f>
        <v>0</v>
      </c>
      <c r="X10" s="9">
        <f>IF(Data!N11&gt;0,Data!N11,0)+X9</f>
        <v>0</v>
      </c>
      <c r="Y10" s="9"/>
      <c r="Z10" s="9"/>
      <c r="AA10" s="9"/>
    </row>
    <row r="11" spans="10:27" x14ac:dyDescent="0.25">
      <c r="J11" s="8">
        <v>46031</v>
      </c>
      <c r="K11" s="9">
        <v>143</v>
      </c>
      <c r="L11" s="9">
        <f>IF(Data!J12-4&gt;0,Data!J12-4,0)+L10</f>
        <v>0</v>
      </c>
      <c r="M11" s="9">
        <f>IF(Data!K12-4&gt;0,Data!K12-4,0)+M10</f>
        <v>0</v>
      </c>
      <c r="N11" s="9">
        <f>IF(Data!L12-4&gt;0,Data!L12-4,0)+N10</f>
        <v>0</v>
      </c>
      <c r="O11" s="9">
        <f>IF(Data!M12-4&gt;0,Data!M12-4,0)+O10</f>
        <v>0</v>
      </c>
      <c r="P11" s="9">
        <f>IF(Data!N12-4&gt;0,Data!N12-4,0)+P10</f>
        <v>0</v>
      </c>
      <c r="Q11" s="9"/>
      <c r="R11" s="9"/>
      <c r="S11" s="9"/>
      <c r="T11" s="9">
        <f>IF(Data!J12&gt;0,Data!J12,0)+T10</f>
        <v>0</v>
      </c>
      <c r="U11" s="9">
        <f>IF(Data!K12&gt;0,Data!K12,0)+U10</f>
        <v>0</v>
      </c>
      <c r="V11" s="9">
        <f>IF(Data!L12&gt;0,Data!L12,0)+V10</f>
        <v>0</v>
      </c>
      <c r="W11" s="9">
        <f>IF(Data!M12&gt;0,Data!M12,0)+W10</f>
        <v>0</v>
      </c>
      <c r="X11" s="9">
        <f>IF(Data!N12&gt;0,Data!N12,0)+X10</f>
        <v>0</v>
      </c>
      <c r="Y11" s="9"/>
      <c r="Z11" s="9"/>
      <c r="AA11" s="9"/>
    </row>
    <row r="12" spans="10:27" x14ac:dyDescent="0.25">
      <c r="J12" s="8">
        <v>46032</v>
      </c>
      <c r="K12" s="9">
        <v>143</v>
      </c>
      <c r="L12" s="9">
        <f>IF(Data!J13-4&gt;0,Data!J13-4,0)+L11</f>
        <v>0</v>
      </c>
      <c r="M12" s="9">
        <f>IF(Data!K13-4&gt;0,Data!K13-4,0)+M11</f>
        <v>0</v>
      </c>
      <c r="N12" s="9">
        <f>IF(Data!L13-4&gt;0,Data!L13-4,0)+N11</f>
        <v>0</v>
      </c>
      <c r="O12" s="9">
        <f>IF(Data!M13-4&gt;0,Data!M13-4,0)+O11</f>
        <v>0</v>
      </c>
      <c r="P12" s="9">
        <f>IF(Data!N13-4&gt;0,Data!N13-4,0)+P11</f>
        <v>0</v>
      </c>
      <c r="Q12" s="9"/>
      <c r="R12" s="9"/>
      <c r="S12" s="9"/>
      <c r="T12" s="9">
        <f>IF(Data!J13&gt;0,Data!J13,0)+T11</f>
        <v>0</v>
      </c>
      <c r="U12" s="9">
        <f>IF(Data!K13&gt;0,Data!K13,0)+U11</f>
        <v>0</v>
      </c>
      <c r="V12" s="9">
        <f>IF(Data!L13&gt;0,Data!L13,0)+V11</f>
        <v>0</v>
      </c>
      <c r="W12" s="9">
        <f>IF(Data!M13&gt;0,Data!M13,0)+W11</f>
        <v>0</v>
      </c>
      <c r="X12" s="9">
        <f>IF(Data!N13&gt;0,Data!N13,0)+X11</f>
        <v>0</v>
      </c>
      <c r="Y12" s="9"/>
      <c r="Z12" s="9"/>
      <c r="AA12" s="9"/>
    </row>
    <row r="13" spans="10:27" x14ac:dyDescent="0.25">
      <c r="J13" s="8">
        <v>46033</v>
      </c>
      <c r="K13" s="9">
        <v>143</v>
      </c>
      <c r="L13" s="9">
        <f>IF(Data!J14-4&gt;0,Data!J14-4,0)+L12</f>
        <v>0</v>
      </c>
      <c r="M13" s="9">
        <f>IF(Data!K14-4&gt;0,Data!K14-4,0)+M12</f>
        <v>0</v>
      </c>
      <c r="N13" s="9">
        <f>IF(Data!L14-4&gt;0,Data!L14-4,0)+N12</f>
        <v>0</v>
      </c>
      <c r="O13" s="9">
        <f>IF(Data!M14-4&gt;0,Data!M14-4,0)+O12</f>
        <v>0</v>
      </c>
      <c r="P13" s="9">
        <f>IF(Data!N14-4&gt;0,Data!N14-4,0)+P12</f>
        <v>0</v>
      </c>
      <c r="Q13" s="9"/>
      <c r="R13" s="9"/>
      <c r="S13" s="9"/>
      <c r="T13" s="9">
        <f>IF(Data!J14&gt;0,Data!J14,0)+T12</f>
        <v>0</v>
      </c>
      <c r="U13" s="9">
        <f>IF(Data!K14&gt;0,Data!K14,0)+U12</f>
        <v>0</v>
      </c>
      <c r="V13" s="9">
        <f>IF(Data!L14&gt;0,Data!L14,0)+V12</f>
        <v>0</v>
      </c>
      <c r="W13" s="9">
        <f>IF(Data!M14&gt;0,Data!M14,0)+W12</f>
        <v>0</v>
      </c>
      <c r="X13" s="9">
        <f>IF(Data!N14&gt;0,Data!N14,0)+X12</f>
        <v>0</v>
      </c>
      <c r="Y13" s="9"/>
      <c r="Z13" s="9"/>
      <c r="AA13" s="9"/>
    </row>
    <row r="14" spans="10:27" x14ac:dyDescent="0.25">
      <c r="J14" s="8">
        <v>46034</v>
      </c>
      <c r="K14" s="9">
        <v>143</v>
      </c>
      <c r="L14" s="9">
        <f>IF(Data!J15-4&gt;0,Data!J15-4,0)+L13</f>
        <v>0</v>
      </c>
      <c r="M14" s="9">
        <f>IF(Data!K15-4&gt;0,Data!K15-4,0)+M13</f>
        <v>0</v>
      </c>
      <c r="N14" s="9">
        <f>IF(Data!L15-4&gt;0,Data!L15-4,0)+N13</f>
        <v>0</v>
      </c>
      <c r="O14" s="9">
        <f>IF(Data!M15-4&gt;0,Data!M15-4,0)+O13</f>
        <v>0</v>
      </c>
      <c r="P14" s="9">
        <f>IF(Data!N15-4&gt;0,Data!N15-4,0)+P13</f>
        <v>0</v>
      </c>
      <c r="Q14" s="9"/>
      <c r="R14" s="9"/>
      <c r="S14" s="9"/>
      <c r="T14" s="9">
        <f>IF(Data!J15&gt;0,Data!J15,0)+T13</f>
        <v>0</v>
      </c>
      <c r="U14" s="9">
        <f>IF(Data!K15&gt;0,Data!K15,0)+U13</f>
        <v>0</v>
      </c>
      <c r="V14" s="9">
        <f>IF(Data!L15&gt;0,Data!L15,0)+V13</f>
        <v>0</v>
      </c>
      <c r="W14" s="9">
        <f>IF(Data!M15&gt;0,Data!M15,0)+W13</f>
        <v>0</v>
      </c>
      <c r="X14" s="9">
        <f>IF(Data!N15&gt;0,Data!N15,0)+X13</f>
        <v>0</v>
      </c>
      <c r="Y14" s="9"/>
      <c r="Z14" s="9"/>
      <c r="AA14" s="9"/>
    </row>
    <row r="15" spans="10:27" x14ac:dyDescent="0.25">
      <c r="J15" s="8">
        <v>46035</v>
      </c>
      <c r="K15" s="9">
        <v>143</v>
      </c>
      <c r="L15" s="9">
        <f>IF(Data!J16-4&gt;0,Data!J16-4,0)+L14</f>
        <v>0</v>
      </c>
      <c r="M15" s="9">
        <f>IF(Data!K16-4&gt;0,Data!K16-4,0)+M14</f>
        <v>0</v>
      </c>
      <c r="N15" s="9">
        <f>IF(Data!L16-4&gt;0,Data!L16-4,0)+N14</f>
        <v>0</v>
      </c>
      <c r="O15" s="9">
        <f>IF(Data!M16-4&gt;0,Data!M16-4,0)+O14</f>
        <v>0</v>
      </c>
      <c r="P15" s="9">
        <f>IF(Data!N16-4&gt;0,Data!N16-4,0)+P14</f>
        <v>0</v>
      </c>
      <c r="Q15" s="9"/>
      <c r="R15" s="9"/>
      <c r="S15" s="9"/>
      <c r="T15" s="9">
        <f>IF(Data!J16&gt;0,Data!J16,0)+T14</f>
        <v>0</v>
      </c>
      <c r="U15" s="9">
        <f>IF(Data!K16&gt;0,Data!K16,0)+U14</f>
        <v>0</v>
      </c>
      <c r="V15" s="9">
        <f>IF(Data!L16&gt;0,Data!L16,0)+V14</f>
        <v>0</v>
      </c>
      <c r="W15" s="9">
        <f>IF(Data!M16&gt;0,Data!M16,0)+W14</f>
        <v>0</v>
      </c>
      <c r="X15" s="9">
        <f>IF(Data!N16&gt;0,Data!N16,0)+X14</f>
        <v>0</v>
      </c>
      <c r="Y15" s="9"/>
      <c r="Z15" s="9"/>
      <c r="AA15" s="9"/>
    </row>
    <row r="16" spans="10:27" x14ac:dyDescent="0.25">
      <c r="J16" s="8">
        <v>46036</v>
      </c>
      <c r="K16" s="9">
        <v>143</v>
      </c>
      <c r="L16" s="9">
        <f>IF(Data!J17-4&gt;0,Data!J17-4,0)+L15</f>
        <v>0</v>
      </c>
      <c r="M16" s="9">
        <f>IF(Data!K17-4&gt;0,Data!K17-4,0)+M15</f>
        <v>0</v>
      </c>
      <c r="N16" s="9">
        <f>IF(Data!L17-4&gt;0,Data!L17-4,0)+N15</f>
        <v>0</v>
      </c>
      <c r="O16" s="9">
        <f>IF(Data!M17-4&gt;0,Data!M17-4,0)+O15</f>
        <v>0</v>
      </c>
      <c r="P16" s="9">
        <f>IF(Data!N17-4&gt;0,Data!N17-4,0)+P15</f>
        <v>0</v>
      </c>
      <c r="Q16" s="9"/>
      <c r="R16" s="9"/>
      <c r="S16" s="9"/>
      <c r="T16" s="9">
        <f>IF(Data!J17&gt;0,Data!J17,0)+T15</f>
        <v>0</v>
      </c>
      <c r="U16" s="9">
        <f>IF(Data!K17&gt;0,Data!K17,0)+U15</f>
        <v>0</v>
      </c>
      <c r="V16" s="9">
        <f>IF(Data!L17&gt;0,Data!L17,0)+V15</f>
        <v>0</v>
      </c>
      <c r="W16" s="9">
        <f>IF(Data!M17&gt;0,Data!M17,0)+W15</f>
        <v>0</v>
      </c>
      <c r="X16" s="9">
        <f>IF(Data!N17&gt;0,Data!N17,0)+X15</f>
        <v>0</v>
      </c>
      <c r="Y16" s="9"/>
      <c r="Z16" s="9"/>
      <c r="AA16" s="9"/>
    </row>
    <row r="17" spans="1:27" x14ac:dyDescent="0.25">
      <c r="J17" s="8">
        <v>46037</v>
      </c>
      <c r="K17" s="9">
        <v>143</v>
      </c>
      <c r="L17" s="9">
        <f>IF(Data!J18-4&gt;0,Data!J18-4,0)+L16</f>
        <v>0</v>
      </c>
      <c r="M17" s="9">
        <f>IF(Data!K18-4&gt;0,Data!K18-4,0)+M16</f>
        <v>0</v>
      </c>
      <c r="N17" s="9">
        <f>IF(Data!L18-4&gt;0,Data!L18-4,0)+N16</f>
        <v>0</v>
      </c>
      <c r="O17" s="9">
        <f>IF(Data!M18-4&gt;0,Data!M18-4,0)+O16</f>
        <v>0</v>
      </c>
      <c r="P17" s="9">
        <f>IF(Data!N18-4&gt;0,Data!N18-4,0)+P16</f>
        <v>0</v>
      </c>
      <c r="Q17" s="9"/>
      <c r="R17" s="9"/>
      <c r="S17" s="9"/>
      <c r="T17" s="9">
        <f>IF(Data!J18&gt;0,Data!J18,0)+T16</f>
        <v>0</v>
      </c>
      <c r="U17" s="9">
        <f>IF(Data!K18&gt;0,Data!K18,0)+U16</f>
        <v>0</v>
      </c>
      <c r="V17" s="9">
        <f>IF(Data!L18&gt;0,Data!L18,0)+V16</f>
        <v>0</v>
      </c>
      <c r="W17" s="9">
        <f>IF(Data!M18&gt;0,Data!M18,0)+W16</f>
        <v>0</v>
      </c>
      <c r="X17" s="9">
        <f>IF(Data!N18&gt;0,Data!N18,0)+X16</f>
        <v>0</v>
      </c>
      <c r="Y17" s="9"/>
      <c r="Z17" s="9"/>
      <c r="AA17" s="9"/>
    </row>
    <row r="18" spans="1:27" x14ac:dyDescent="0.25">
      <c r="J18" s="8">
        <v>46038</v>
      </c>
      <c r="K18" s="9">
        <v>143</v>
      </c>
      <c r="L18" s="9">
        <f>IF(Data!J19-4&gt;0,Data!J19-4,0)+L17</f>
        <v>0</v>
      </c>
      <c r="M18" s="9">
        <f>IF(Data!K19-4&gt;0,Data!K19-4,0)+M17</f>
        <v>0</v>
      </c>
      <c r="N18" s="9">
        <f>IF(Data!L19-4&gt;0,Data!L19-4,0)+N17</f>
        <v>0</v>
      </c>
      <c r="O18" s="9">
        <f>IF(Data!M19-4&gt;0,Data!M19-4,0)+O17</f>
        <v>0</v>
      </c>
      <c r="P18" s="9">
        <f>IF(Data!N19-4&gt;0,Data!N19-4,0)+P17</f>
        <v>0</v>
      </c>
      <c r="Q18" s="9"/>
      <c r="R18" s="9"/>
      <c r="S18" s="9"/>
      <c r="T18" s="9">
        <f>IF(Data!J19&gt;0,Data!J19,0)+T17</f>
        <v>0</v>
      </c>
      <c r="U18" s="9">
        <f>IF(Data!K19&gt;0,Data!K19,0)+U17</f>
        <v>0</v>
      </c>
      <c r="V18" s="9">
        <f>IF(Data!L19&gt;0,Data!L19,0)+V17</f>
        <v>0</v>
      </c>
      <c r="W18" s="9">
        <f>IF(Data!M19&gt;0,Data!M19,0)+W17</f>
        <v>0</v>
      </c>
      <c r="X18" s="9">
        <f>IF(Data!N19&gt;0,Data!N19,0)+X17</f>
        <v>0</v>
      </c>
      <c r="Y18" s="9"/>
      <c r="Z18" s="9"/>
      <c r="AA18" s="9"/>
    </row>
    <row r="19" spans="1:27" x14ac:dyDescent="0.25">
      <c r="J19" s="8">
        <v>46039</v>
      </c>
      <c r="K19" s="9">
        <v>143</v>
      </c>
      <c r="L19" s="9">
        <f>IF(Data!J20-4&gt;0,Data!J20-4,0)+L18</f>
        <v>0</v>
      </c>
      <c r="M19" s="9">
        <f>IF(Data!K20-4&gt;0,Data!K20-4,0)+M18</f>
        <v>0</v>
      </c>
      <c r="N19" s="9">
        <f>IF(Data!L20-4&gt;0,Data!L20-4,0)+N18</f>
        <v>0</v>
      </c>
      <c r="O19" s="9">
        <f>IF(Data!M20-4&gt;0,Data!M20-4,0)+O18</f>
        <v>0</v>
      </c>
      <c r="P19" s="9">
        <f>IF(Data!N20-4&gt;0,Data!N20-4,0)+P18</f>
        <v>0</v>
      </c>
      <c r="Q19" s="9"/>
      <c r="R19" s="9"/>
      <c r="S19" s="9"/>
      <c r="T19" s="9">
        <f>IF(Data!J20&gt;0,Data!J20,0)+T18</f>
        <v>0</v>
      </c>
      <c r="U19" s="9">
        <f>IF(Data!K20&gt;0,Data!K20,0)+U18</f>
        <v>0</v>
      </c>
      <c r="V19" s="9">
        <f>IF(Data!L20&gt;0,Data!L20,0)+V18</f>
        <v>0</v>
      </c>
      <c r="W19" s="9">
        <f>IF(Data!M20&gt;0,Data!M20,0)+W18</f>
        <v>0</v>
      </c>
      <c r="X19" s="9">
        <f>IF(Data!N20&gt;0,Data!N20,0)+X18</f>
        <v>0</v>
      </c>
      <c r="Y19" s="9"/>
      <c r="Z19" s="9"/>
      <c r="AA19" s="9"/>
    </row>
    <row r="20" spans="1:27" x14ac:dyDescent="0.25">
      <c r="J20" s="8">
        <v>46040</v>
      </c>
      <c r="K20" s="9">
        <v>143</v>
      </c>
      <c r="L20" s="9">
        <f>IF(Data!J21-4&gt;0,Data!J21-4,0)+L19</f>
        <v>0</v>
      </c>
      <c r="M20" s="9">
        <f>IF(Data!K21-4&gt;0,Data!K21-4,0)+M19</f>
        <v>0</v>
      </c>
      <c r="N20" s="9">
        <f>IF(Data!L21-4&gt;0,Data!L21-4,0)+N19</f>
        <v>0</v>
      </c>
      <c r="O20" s="9">
        <f>IF(Data!M21-4&gt;0,Data!M21-4,0)+O19</f>
        <v>0</v>
      </c>
      <c r="P20" s="9">
        <f>IF(Data!N21-4&gt;0,Data!N21-4,0)+P19</f>
        <v>0</v>
      </c>
      <c r="Q20" s="9"/>
      <c r="R20" s="9"/>
      <c r="S20" s="9"/>
      <c r="T20" s="9">
        <f>IF(Data!J21&gt;0,Data!J21,0)+T19</f>
        <v>0</v>
      </c>
      <c r="U20" s="9">
        <f>IF(Data!K21&gt;0,Data!K21,0)+U19</f>
        <v>0</v>
      </c>
      <c r="V20" s="9">
        <f>IF(Data!L21&gt;0,Data!L21,0)+V19</f>
        <v>0</v>
      </c>
      <c r="W20" s="9">
        <f>IF(Data!M21&gt;0,Data!M21,0)+W19</f>
        <v>0</v>
      </c>
      <c r="X20" s="9">
        <f>IF(Data!N21&gt;0,Data!N21,0)+X19</f>
        <v>0</v>
      </c>
      <c r="Y20" s="9"/>
      <c r="Z20" s="9"/>
      <c r="AA20" s="9"/>
    </row>
    <row r="21" spans="1:27" x14ac:dyDescent="0.25">
      <c r="J21" s="8">
        <v>46041</v>
      </c>
      <c r="K21" s="9">
        <v>143</v>
      </c>
      <c r="L21" s="9">
        <f>IF(Data!J22-4&gt;0,Data!J22-4,0)+L20</f>
        <v>0</v>
      </c>
      <c r="M21" s="9">
        <f>IF(Data!K22-4&gt;0,Data!K22-4,0)+M20</f>
        <v>0</v>
      </c>
      <c r="N21" s="9">
        <f>IF(Data!L22-4&gt;0,Data!L22-4,0)+N20</f>
        <v>0</v>
      </c>
      <c r="O21" s="9">
        <f>IF(Data!M22-4&gt;0,Data!M22-4,0)+O20</f>
        <v>0</v>
      </c>
      <c r="P21" s="9">
        <f>IF(Data!N22-4&gt;0,Data!N22-4,0)+P20</f>
        <v>0</v>
      </c>
      <c r="Q21" s="9"/>
      <c r="R21" s="9"/>
      <c r="S21" s="9"/>
      <c r="T21" s="9">
        <f>IF(Data!J22&gt;0,Data!J22,0)+T20</f>
        <v>0</v>
      </c>
      <c r="U21" s="9">
        <f>IF(Data!K22&gt;0,Data!K22,0)+U20</f>
        <v>0</v>
      </c>
      <c r="V21" s="9">
        <f>IF(Data!L22&gt;0,Data!L22,0)+V20</f>
        <v>0</v>
      </c>
      <c r="W21" s="9">
        <f>IF(Data!M22&gt;0,Data!M22,0)+W20</f>
        <v>0</v>
      </c>
      <c r="X21" s="9">
        <f>IF(Data!N22&gt;0,Data!N22,0)+X20</f>
        <v>0</v>
      </c>
      <c r="Y21" s="9"/>
      <c r="Z21" s="9"/>
      <c r="AA21" s="9"/>
    </row>
    <row r="22" spans="1:27" x14ac:dyDescent="0.25">
      <c r="J22" s="8">
        <v>46042</v>
      </c>
      <c r="K22" s="9">
        <v>143</v>
      </c>
      <c r="L22" s="9">
        <f>IF(Data!J23-4&gt;0,Data!J23-4,0)+L21</f>
        <v>0</v>
      </c>
      <c r="M22" s="9">
        <f>IF(Data!K23-4&gt;0,Data!K23-4,0)+M21</f>
        <v>0</v>
      </c>
      <c r="N22" s="9">
        <f>IF(Data!L23-4&gt;0,Data!L23-4,0)+N21</f>
        <v>0</v>
      </c>
      <c r="O22" s="9">
        <f>IF(Data!M23-4&gt;0,Data!M23-4,0)+O21</f>
        <v>0</v>
      </c>
      <c r="P22" s="9">
        <f>IF(Data!N23-4&gt;0,Data!N23-4,0)+P21</f>
        <v>0</v>
      </c>
      <c r="Q22" s="9"/>
      <c r="R22" s="9"/>
      <c r="S22" s="9"/>
      <c r="T22" s="9">
        <f>IF(Data!J23&gt;0,Data!J23,0)+T21</f>
        <v>0</v>
      </c>
      <c r="U22" s="9">
        <f>IF(Data!K23&gt;0,Data!K23,0)+U21</f>
        <v>0</v>
      </c>
      <c r="V22" s="9">
        <f>IF(Data!L23&gt;0,Data!L23,0)+V21</f>
        <v>0</v>
      </c>
      <c r="W22" s="9">
        <f>IF(Data!M23&gt;0,Data!M23,0)+W21</f>
        <v>0</v>
      </c>
      <c r="X22" s="9">
        <f>IF(Data!N23&gt;0,Data!N23,0)+X21</f>
        <v>0</v>
      </c>
      <c r="Y22" s="9"/>
      <c r="Z22" s="9"/>
      <c r="AA22" s="9"/>
    </row>
    <row r="23" spans="1:27" x14ac:dyDescent="0.25">
      <c r="J23" s="8">
        <v>46043</v>
      </c>
      <c r="K23" s="9">
        <v>143</v>
      </c>
      <c r="L23" s="9">
        <f>IF(Data!J24-4&gt;0,Data!J24-4,0)+L22</f>
        <v>0</v>
      </c>
      <c r="M23" s="9">
        <f>IF(Data!K24-4&gt;0,Data!K24-4,0)+M22</f>
        <v>0</v>
      </c>
      <c r="N23" s="9">
        <f>IF(Data!L24-4&gt;0,Data!L24-4,0)+N22</f>
        <v>0</v>
      </c>
      <c r="O23" s="9">
        <f>IF(Data!M24-4&gt;0,Data!M24-4,0)+O22</f>
        <v>0</v>
      </c>
      <c r="P23" s="9">
        <f>IF(Data!N24-4&gt;0,Data!N24-4,0)+P22</f>
        <v>0</v>
      </c>
      <c r="Q23" s="9"/>
      <c r="R23" s="9"/>
      <c r="S23" s="9"/>
      <c r="T23" s="9">
        <f>IF(Data!J24&gt;0,Data!J24,0)+T22</f>
        <v>0</v>
      </c>
      <c r="U23" s="9">
        <f>IF(Data!K24&gt;0,Data!K24,0)+U22</f>
        <v>0</v>
      </c>
      <c r="V23" s="9">
        <f>IF(Data!L24&gt;0,Data!L24,0)+V22</f>
        <v>0</v>
      </c>
      <c r="W23" s="9">
        <f>IF(Data!M24&gt;0,Data!M24,0)+W22</f>
        <v>0</v>
      </c>
      <c r="X23" s="9">
        <f>IF(Data!N24&gt;0,Data!N24,0)+X22</f>
        <v>0</v>
      </c>
      <c r="Y23" s="9"/>
      <c r="Z23" s="9"/>
      <c r="AA23" s="9"/>
    </row>
    <row r="24" spans="1:27" x14ac:dyDescent="0.25">
      <c r="A24" s="13" t="s">
        <v>4</v>
      </c>
      <c r="B24" s="13" t="e">
        <f ca="1">L2</f>
        <v>#NAME?</v>
      </c>
      <c r="C24" s="13" t="e">
        <f t="shared" ref="C24:F24" ca="1" si="1">M2</f>
        <v>#NAME?</v>
      </c>
      <c r="D24" s="13" t="e">
        <f t="shared" ca="1" si="1"/>
        <v>#NAME?</v>
      </c>
      <c r="E24" s="13" t="e">
        <f t="shared" ca="1" si="1"/>
        <v>#NAME?</v>
      </c>
      <c r="F24" s="13" t="e">
        <f t="shared" ca="1" si="1"/>
        <v>#NAME?</v>
      </c>
      <c r="G24" s="13">
        <f t="shared" ref="G24" si="2">R2</f>
        <v>0</v>
      </c>
      <c r="H24" s="13">
        <f>S2</f>
        <v>0</v>
      </c>
      <c r="J24" s="8">
        <v>46044</v>
      </c>
      <c r="K24" s="9">
        <v>143</v>
      </c>
      <c r="L24" s="9">
        <f>IF(Data!J25-4&gt;0,Data!J25-4,0)+L23</f>
        <v>0</v>
      </c>
      <c r="M24" s="9">
        <f>IF(Data!K25-4&gt;0,Data!K25-4,0)+M23</f>
        <v>0</v>
      </c>
      <c r="N24" s="9">
        <f>IF(Data!L25-4&gt;0,Data!L25-4,0)+N23</f>
        <v>0</v>
      </c>
      <c r="O24" s="9">
        <f>IF(Data!M25-4&gt;0,Data!M25-4,0)+O23</f>
        <v>0</v>
      </c>
      <c r="P24" s="9">
        <f>IF(Data!N25-4&gt;0,Data!N25-4,0)+P23</f>
        <v>0</v>
      </c>
      <c r="Q24" s="9"/>
      <c r="R24" s="9"/>
      <c r="S24" s="9"/>
      <c r="T24" s="9">
        <f>IF(Data!J25&gt;0,Data!J25,0)+T23</f>
        <v>0</v>
      </c>
      <c r="U24" s="9">
        <f>IF(Data!K25&gt;0,Data!K25,0)+U23</f>
        <v>0</v>
      </c>
      <c r="V24" s="9">
        <f>IF(Data!L25&gt;0,Data!L25,0)+V23</f>
        <v>0</v>
      </c>
      <c r="W24" s="9">
        <f>IF(Data!M25&gt;0,Data!M25,0)+W23</f>
        <v>0</v>
      </c>
      <c r="X24" s="9">
        <f>IF(Data!N25&gt;0,Data!N25,0)+X23</f>
        <v>0</v>
      </c>
      <c r="Y24" s="9"/>
      <c r="Z24" s="9"/>
      <c r="AA24" s="9"/>
    </row>
    <row r="25" spans="1:27" ht="45" x14ac:dyDescent="0.25">
      <c r="A25" s="13" t="s">
        <v>5</v>
      </c>
      <c r="B25" s="13">
        <f>L92</f>
        <v>0</v>
      </c>
      <c r="C25" s="13">
        <f t="shared" ref="C25:F25" si="3">M92</f>
        <v>0</v>
      </c>
      <c r="D25" s="13">
        <f t="shared" si="3"/>
        <v>0</v>
      </c>
      <c r="E25" s="13">
        <f t="shared" si="3"/>
        <v>0</v>
      </c>
      <c r="F25" s="13">
        <f t="shared" si="3"/>
        <v>0</v>
      </c>
      <c r="G25" s="13">
        <f t="shared" ref="G25:H25" si="4">R92</f>
        <v>0</v>
      </c>
      <c r="H25" s="13">
        <f t="shared" si="4"/>
        <v>0</v>
      </c>
      <c r="J25" s="8">
        <v>46045</v>
      </c>
      <c r="K25" s="9">
        <v>143</v>
      </c>
      <c r="L25" s="9">
        <f>IF(Data!J26-4&gt;0,Data!J26-4,0)+L24</f>
        <v>0</v>
      </c>
      <c r="M25" s="9">
        <f>IF(Data!K26-4&gt;0,Data!K26-4,0)+M24</f>
        <v>0</v>
      </c>
      <c r="N25" s="9">
        <f>IF(Data!L26-4&gt;0,Data!L26-4,0)+N24</f>
        <v>0</v>
      </c>
      <c r="O25" s="9">
        <f>IF(Data!M26-4&gt;0,Data!M26-4,0)+O24</f>
        <v>0</v>
      </c>
      <c r="P25" s="9">
        <f>IF(Data!N26-4&gt;0,Data!N26-4,0)+P24</f>
        <v>0</v>
      </c>
      <c r="Q25" s="9"/>
      <c r="R25" s="9"/>
      <c r="S25" s="9"/>
      <c r="T25" s="9">
        <f>IF(Data!J26&gt;0,Data!J26,0)+T24</f>
        <v>0</v>
      </c>
      <c r="U25" s="9">
        <f>IF(Data!K26&gt;0,Data!K26,0)+U24</f>
        <v>0</v>
      </c>
      <c r="V25" s="9">
        <f>IF(Data!L26&gt;0,Data!L26,0)+V24</f>
        <v>0</v>
      </c>
      <c r="W25" s="9">
        <f>IF(Data!M26&gt;0,Data!M26,0)+W24</f>
        <v>0</v>
      </c>
      <c r="X25" s="9">
        <f>IF(Data!N26&gt;0,Data!N26,0)+X24</f>
        <v>0</v>
      </c>
      <c r="Y25" s="9"/>
      <c r="Z25" s="9"/>
      <c r="AA25" s="9"/>
    </row>
    <row r="26" spans="1:27" x14ac:dyDescent="0.25">
      <c r="J26" s="8">
        <v>46046</v>
      </c>
      <c r="K26" s="9">
        <v>143</v>
      </c>
      <c r="L26" s="9">
        <f>IF(Data!J27-4&gt;0,Data!J27-4,0)+L25</f>
        <v>0</v>
      </c>
      <c r="M26" s="9">
        <f>IF(Data!K27-4&gt;0,Data!K27-4,0)+M25</f>
        <v>0</v>
      </c>
      <c r="N26" s="9">
        <f>IF(Data!L27-4&gt;0,Data!L27-4,0)+N25</f>
        <v>0</v>
      </c>
      <c r="O26" s="9">
        <f>IF(Data!M27-4&gt;0,Data!M27-4,0)+O25</f>
        <v>0</v>
      </c>
      <c r="P26" s="9">
        <f>IF(Data!N27-4&gt;0,Data!N27-4,0)+P25</f>
        <v>0</v>
      </c>
      <c r="Q26" s="9"/>
      <c r="R26" s="9"/>
      <c r="S26" s="9"/>
      <c r="T26" s="9">
        <f>IF(Data!J27&gt;0,Data!J27,0)+T25</f>
        <v>0</v>
      </c>
      <c r="U26" s="9">
        <f>IF(Data!K27&gt;0,Data!K27,0)+U25</f>
        <v>0</v>
      </c>
      <c r="V26" s="9">
        <f>IF(Data!L27&gt;0,Data!L27,0)+V25</f>
        <v>0</v>
      </c>
      <c r="W26" s="9">
        <f>IF(Data!M27&gt;0,Data!M27,0)+W25</f>
        <v>0</v>
      </c>
      <c r="X26" s="9">
        <f>IF(Data!N27&gt;0,Data!N27,0)+X25</f>
        <v>0</v>
      </c>
      <c r="Y26" s="9"/>
      <c r="Z26" s="9"/>
      <c r="AA26" s="9"/>
    </row>
    <row r="27" spans="1:27" x14ac:dyDescent="0.25">
      <c r="A27" s="13" t="s">
        <v>6</v>
      </c>
      <c r="B27" s="13" t="e">
        <f ca="1">T2</f>
        <v>#NAME?</v>
      </c>
      <c r="C27" s="13" t="e">
        <f t="shared" ref="C27:F27" ca="1" si="5">U2</f>
        <v>#NAME?</v>
      </c>
      <c r="D27" s="13" t="e">
        <f t="shared" ca="1" si="5"/>
        <v>#NAME?</v>
      </c>
      <c r="E27" s="13" t="e">
        <f t="shared" ca="1" si="5"/>
        <v>#NAME?</v>
      </c>
      <c r="F27" s="13" t="e">
        <f t="shared" ca="1" si="5"/>
        <v>#NAME?</v>
      </c>
      <c r="G27" s="13">
        <f t="shared" ref="G27:H27" si="6">Z2</f>
        <v>0</v>
      </c>
      <c r="H27" s="13">
        <f t="shared" si="6"/>
        <v>0</v>
      </c>
      <c r="J27" s="8">
        <v>46047</v>
      </c>
      <c r="K27" s="9">
        <v>143</v>
      </c>
      <c r="L27" s="9">
        <f>IF(Data!J28-4&gt;0,Data!J28-4,0)+L26</f>
        <v>0</v>
      </c>
      <c r="M27" s="9">
        <f>IF(Data!K28-4&gt;0,Data!K28-4,0)+M26</f>
        <v>0</v>
      </c>
      <c r="N27" s="9">
        <f>IF(Data!L28-4&gt;0,Data!L28-4,0)+N26</f>
        <v>0</v>
      </c>
      <c r="O27" s="9">
        <f>IF(Data!M28-4&gt;0,Data!M28-4,0)+O26</f>
        <v>0</v>
      </c>
      <c r="P27" s="9">
        <f>IF(Data!N28-4&gt;0,Data!N28-4,0)+P26</f>
        <v>0</v>
      </c>
      <c r="Q27" s="9"/>
      <c r="R27" s="9"/>
      <c r="S27" s="9"/>
      <c r="T27" s="9">
        <f>IF(Data!J28&gt;0,Data!J28,0)+T26</f>
        <v>0</v>
      </c>
      <c r="U27" s="9">
        <f>IF(Data!K28&gt;0,Data!K28,0)+U26</f>
        <v>0</v>
      </c>
      <c r="V27" s="9">
        <f>IF(Data!L28&gt;0,Data!L28,0)+V26</f>
        <v>0</v>
      </c>
      <c r="W27" s="9">
        <f>IF(Data!M28&gt;0,Data!M28,0)+W26</f>
        <v>0</v>
      </c>
      <c r="X27" s="9">
        <f>IF(Data!N28&gt;0,Data!N28,0)+X26</f>
        <v>0</v>
      </c>
      <c r="Y27" s="9"/>
      <c r="Z27" s="9"/>
      <c r="AA27" s="9"/>
    </row>
    <row r="28" spans="1:27" ht="45" x14ac:dyDescent="0.25">
      <c r="A28" s="13" t="s">
        <v>5</v>
      </c>
      <c r="B28" s="13">
        <f>T92</f>
        <v>0</v>
      </c>
      <c r="C28" s="13">
        <f t="shared" ref="C28:F28" si="7">U92</f>
        <v>0</v>
      </c>
      <c r="D28" s="13">
        <f t="shared" si="7"/>
        <v>0</v>
      </c>
      <c r="E28" s="13">
        <f t="shared" si="7"/>
        <v>0</v>
      </c>
      <c r="F28" s="13">
        <f t="shared" si="7"/>
        <v>0</v>
      </c>
      <c r="G28" s="13">
        <f t="shared" ref="G28:H28" si="8">Z92</f>
        <v>0</v>
      </c>
      <c r="H28" s="13">
        <f t="shared" si="8"/>
        <v>0</v>
      </c>
      <c r="J28" s="8">
        <v>46048</v>
      </c>
      <c r="K28" s="9">
        <v>143</v>
      </c>
      <c r="L28" s="9">
        <f>IF(Data!J29-4&gt;0,Data!J29-4,0)+L27</f>
        <v>0</v>
      </c>
      <c r="M28" s="9">
        <f>IF(Data!K29-4&gt;0,Data!K29-4,0)+M27</f>
        <v>0</v>
      </c>
      <c r="N28" s="9">
        <f>IF(Data!L29-4&gt;0,Data!L29-4,0)+N27</f>
        <v>0</v>
      </c>
      <c r="O28" s="9">
        <f>IF(Data!M29-4&gt;0,Data!M29-4,0)+O27</f>
        <v>0</v>
      </c>
      <c r="P28" s="9">
        <f>IF(Data!N29-4&gt;0,Data!N29-4,0)+P27</f>
        <v>0</v>
      </c>
      <c r="Q28" s="9"/>
      <c r="R28" s="9"/>
      <c r="S28" s="9"/>
      <c r="T28" s="9">
        <f>IF(Data!J29&gt;0,Data!J29,0)+T27</f>
        <v>0</v>
      </c>
      <c r="U28" s="9">
        <f>IF(Data!K29&gt;0,Data!K29,0)+U27</f>
        <v>0</v>
      </c>
      <c r="V28" s="9">
        <f>IF(Data!L29&gt;0,Data!L29,0)+V27</f>
        <v>0</v>
      </c>
      <c r="W28" s="9">
        <f>IF(Data!M29&gt;0,Data!M29,0)+W27</f>
        <v>0</v>
      </c>
      <c r="X28" s="9">
        <f>IF(Data!N29&gt;0,Data!N29,0)+X27</f>
        <v>0</v>
      </c>
      <c r="Y28" s="9"/>
      <c r="Z28" s="9"/>
      <c r="AA28" s="9"/>
    </row>
    <row r="29" spans="1:27" x14ac:dyDescent="0.25">
      <c r="J29" s="8">
        <v>46049</v>
      </c>
      <c r="K29" s="9">
        <v>143</v>
      </c>
      <c r="L29" s="9">
        <f>IF(Data!J30-4&gt;0,Data!J30-4,0)+L28</f>
        <v>0</v>
      </c>
      <c r="M29" s="9">
        <f>IF(Data!K30-4&gt;0,Data!K30-4,0)+M28</f>
        <v>0</v>
      </c>
      <c r="N29" s="9">
        <f>IF(Data!L30-4&gt;0,Data!L30-4,0)+N28</f>
        <v>0</v>
      </c>
      <c r="O29" s="9">
        <f>IF(Data!M30-4&gt;0,Data!M30-4,0)+O28</f>
        <v>0</v>
      </c>
      <c r="P29" s="9">
        <f>IF(Data!N30-4&gt;0,Data!N30-4,0)+P28</f>
        <v>0</v>
      </c>
      <c r="Q29" s="9"/>
      <c r="R29" s="9"/>
      <c r="S29" s="9"/>
      <c r="T29" s="9">
        <f>IF(Data!J30&gt;0,Data!J30,0)+T28</f>
        <v>0</v>
      </c>
      <c r="U29" s="9">
        <f>IF(Data!K30&gt;0,Data!K30,0)+U28</f>
        <v>0</v>
      </c>
      <c r="V29" s="9">
        <f>IF(Data!L30&gt;0,Data!L30,0)+V28</f>
        <v>0</v>
      </c>
      <c r="W29" s="9">
        <f>IF(Data!M30&gt;0,Data!M30,0)+W28</f>
        <v>0</v>
      </c>
      <c r="X29" s="9">
        <f>IF(Data!N30&gt;0,Data!N30,0)+X28</f>
        <v>0</v>
      </c>
      <c r="Y29" s="9"/>
      <c r="Z29" s="9"/>
      <c r="AA29" s="9"/>
    </row>
    <row r="30" spans="1:27" x14ac:dyDescent="0.25">
      <c r="J30" s="8">
        <v>46050</v>
      </c>
      <c r="K30" s="9">
        <v>143</v>
      </c>
      <c r="L30" s="9">
        <f>IF(Data!J31-4&gt;0,Data!J31-4,0)+L29</f>
        <v>0</v>
      </c>
      <c r="M30" s="9">
        <f>IF(Data!K31-4&gt;0,Data!K31-4,0)+M29</f>
        <v>0</v>
      </c>
      <c r="N30" s="9">
        <f>IF(Data!L31-4&gt;0,Data!L31-4,0)+N29</f>
        <v>0</v>
      </c>
      <c r="O30" s="9">
        <f>IF(Data!M31-4&gt;0,Data!M31-4,0)+O29</f>
        <v>0</v>
      </c>
      <c r="P30" s="9">
        <f>IF(Data!N31-4&gt;0,Data!N31-4,0)+P29</f>
        <v>0</v>
      </c>
      <c r="Q30" s="9"/>
      <c r="R30" s="9"/>
      <c r="S30" s="9"/>
      <c r="T30" s="9">
        <f>IF(Data!J31&gt;0,Data!J31,0)+T29</f>
        <v>0</v>
      </c>
      <c r="U30" s="9">
        <f>IF(Data!K31&gt;0,Data!K31,0)+U29</f>
        <v>0</v>
      </c>
      <c r="V30" s="9">
        <f>IF(Data!L31&gt;0,Data!L31,0)+V29</f>
        <v>0</v>
      </c>
      <c r="W30" s="9">
        <f>IF(Data!M31&gt;0,Data!M31,0)+W29</f>
        <v>0</v>
      </c>
      <c r="X30" s="9">
        <f>IF(Data!N31&gt;0,Data!N31,0)+X29</f>
        <v>0</v>
      </c>
      <c r="Y30" s="9"/>
      <c r="Z30" s="9"/>
      <c r="AA30" s="9"/>
    </row>
    <row r="31" spans="1:27" x14ac:dyDescent="0.25">
      <c r="J31" s="8">
        <v>46051</v>
      </c>
      <c r="K31" s="9">
        <v>143</v>
      </c>
      <c r="L31" s="9">
        <f>IF(Data!J32-4&gt;0,Data!J32-4,0)+L30</f>
        <v>0</v>
      </c>
      <c r="M31" s="9">
        <f>IF(Data!K32-4&gt;0,Data!K32-4,0)+M30</f>
        <v>0</v>
      </c>
      <c r="N31" s="9">
        <f>IF(Data!L32-4&gt;0,Data!L32-4,0)+N30</f>
        <v>0</v>
      </c>
      <c r="O31" s="9">
        <f>IF(Data!M32-4&gt;0,Data!M32-4,0)+O30</f>
        <v>0</v>
      </c>
      <c r="P31" s="9">
        <f>IF(Data!N32-4&gt;0,Data!N32-4,0)+P30</f>
        <v>0</v>
      </c>
      <c r="Q31" s="9"/>
      <c r="R31" s="9"/>
      <c r="S31" s="9"/>
      <c r="T31" s="9">
        <f>IF(Data!J32&gt;0,Data!J32,0)+T30</f>
        <v>0</v>
      </c>
      <c r="U31" s="9">
        <f>IF(Data!K32&gt;0,Data!K32,0)+U30</f>
        <v>0</v>
      </c>
      <c r="V31" s="9">
        <f>IF(Data!L32&gt;0,Data!L32,0)+V30</f>
        <v>0</v>
      </c>
      <c r="W31" s="9">
        <f>IF(Data!M32&gt;0,Data!M32,0)+W30</f>
        <v>0</v>
      </c>
      <c r="X31" s="9">
        <f>IF(Data!N32&gt;0,Data!N32,0)+X30</f>
        <v>0</v>
      </c>
      <c r="Y31" s="9"/>
      <c r="Z31" s="9"/>
      <c r="AA31" s="9"/>
    </row>
    <row r="32" spans="1:27" x14ac:dyDescent="0.25">
      <c r="J32" s="8">
        <v>46052</v>
      </c>
      <c r="K32" s="9">
        <v>143</v>
      </c>
      <c r="L32" s="9">
        <f>IF(Data!J33-4&gt;0,Data!J33-4,0)+L31</f>
        <v>0</v>
      </c>
      <c r="M32" s="9">
        <f>IF(Data!K33-4&gt;0,Data!K33-4,0)+M31</f>
        <v>0</v>
      </c>
      <c r="N32" s="9">
        <f>IF(Data!L33-4&gt;0,Data!L33-4,0)+N31</f>
        <v>0</v>
      </c>
      <c r="O32" s="9">
        <f>IF(Data!M33-4&gt;0,Data!M33-4,0)+O31</f>
        <v>0</v>
      </c>
      <c r="P32" s="9">
        <f>IF(Data!N33-4&gt;0,Data!N33-4,0)+P31</f>
        <v>0</v>
      </c>
      <c r="Q32" s="9"/>
      <c r="R32" s="9"/>
      <c r="S32" s="9"/>
      <c r="T32" s="9">
        <f>IF(Data!J33&gt;0,Data!J33,0)+T31</f>
        <v>0</v>
      </c>
      <c r="U32" s="9">
        <f>IF(Data!K33&gt;0,Data!K33,0)+U31</f>
        <v>0</v>
      </c>
      <c r="V32" s="9">
        <f>IF(Data!L33&gt;0,Data!L33,0)+V31</f>
        <v>0</v>
      </c>
      <c r="W32" s="9">
        <f>IF(Data!M33&gt;0,Data!M33,0)+W31</f>
        <v>0</v>
      </c>
      <c r="X32" s="9">
        <f>IF(Data!N33&gt;0,Data!N33,0)+X31</f>
        <v>0</v>
      </c>
      <c r="Y32" s="9"/>
      <c r="Z32" s="9"/>
      <c r="AA32" s="9"/>
    </row>
    <row r="33" spans="10:27" x14ac:dyDescent="0.25">
      <c r="J33" s="8">
        <v>46053</v>
      </c>
      <c r="K33" s="9">
        <v>143</v>
      </c>
      <c r="L33" s="9">
        <f>IF(Data!J34-4&gt;0,Data!J34-4,0)+L32</f>
        <v>0</v>
      </c>
      <c r="M33" s="9">
        <f>IF(Data!K34-4&gt;0,Data!K34-4,0)+M32</f>
        <v>0</v>
      </c>
      <c r="N33" s="9">
        <f>IF(Data!L34-4&gt;0,Data!L34-4,0)+N32</f>
        <v>0</v>
      </c>
      <c r="O33" s="9">
        <f>IF(Data!M34-4&gt;0,Data!M34-4,0)+O32</f>
        <v>0</v>
      </c>
      <c r="P33" s="9">
        <f>IF(Data!N34-4&gt;0,Data!N34-4,0)+P32</f>
        <v>0</v>
      </c>
      <c r="Q33" s="9"/>
      <c r="R33" s="9"/>
      <c r="S33" s="9"/>
      <c r="T33" s="9">
        <f>IF(Data!J34&gt;0,Data!J34,0)+T32</f>
        <v>0</v>
      </c>
      <c r="U33" s="9">
        <f>IF(Data!K34&gt;0,Data!K34,0)+U32</f>
        <v>0</v>
      </c>
      <c r="V33" s="9">
        <f>IF(Data!L34&gt;0,Data!L34,0)+V32</f>
        <v>0</v>
      </c>
      <c r="W33" s="9">
        <f>IF(Data!M34&gt;0,Data!M34,0)+W32</f>
        <v>0</v>
      </c>
      <c r="X33" s="9">
        <f>IF(Data!N34&gt;0,Data!N34,0)+X32</f>
        <v>0</v>
      </c>
      <c r="Y33" s="9"/>
      <c r="Z33" s="9"/>
      <c r="AA33" s="9"/>
    </row>
    <row r="34" spans="10:27" x14ac:dyDescent="0.25">
      <c r="J34" s="8">
        <v>46054</v>
      </c>
      <c r="K34" s="9">
        <v>143</v>
      </c>
      <c r="L34" s="9">
        <f>IF(Data!J35-4&gt;0,Data!J35-4,0)+L33</f>
        <v>0</v>
      </c>
      <c r="M34" s="9">
        <f>IF(Data!K35-4&gt;0,Data!K35-4,0)+M33</f>
        <v>0</v>
      </c>
      <c r="N34" s="9">
        <f>IF(Data!L35-4&gt;0,Data!L35-4,0)+N33</f>
        <v>0</v>
      </c>
      <c r="O34" s="9">
        <f>IF(Data!M35-4&gt;0,Data!M35-4,0)+O33</f>
        <v>0</v>
      </c>
      <c r="P34" s="9">
        <f>IF(Data!N35-4&gt;0,Data!N35-4,0)+P33</f>
        <v>0</v>
      </c>
      <c r="Q34" s="9"/>
      <c r="R34" s="9"/>
      <c r="S34" s="9"/>
      <c r="T34" s="9">
        <f>IF(Data!J35&gt;0,Data!J35,0)+T33</f>
        <v>0</v>
      </c>
      <c r="U34" s="9">
        <f>IF(Data!K35&gt;0,Data!K35,0)+U33</f>
        <v>0</v>
      </c>
      <c r="V34" s="9">
        <f>IF(Data!L35&gt;0,Data!L35,0)+V33</f>
        <v>0</v>
      </c>
      <c r="W34" s="9">
        <f>IF(Data!M35&gt;0,Data!M35,0)+W33</f>
        <v>0</v>
      </c>
      <c r="X34" s="9">
        <f>IF(Data!N35&gt;0,Data!N35,0)+X33</f>
        <v>0</v>
      </c>
      <c r="Y34" s="9"/>
      <c r="Z34" s="9"/>
      <c r="AA34" s="9"/>
    </row>
    <row r="35" spans="10:27" x14ac:dyDescent="0.25">
      <c r="J35" s="8">
        <v>46055</v>
      </c>
      <c r="K35" s="9">
        <v>143</v>
      </c>
      <c r="L35" s="9">
        <f>IF(Data!J36-4&gt;0,Data!J36-4,0)+L34</f>
        <v>0</v>
      </c>
      <c r="M35" s="9">
        <f>IF(Data!K36-4&gt;0,Data!K36-4,0)+M34</f>
        <v>0</v>
      </c>
      <c r="N35" s="9">
        <f>IF(Data!L36-4&gt;0,Data!L36-4,0)+N34</f>
        <v>0</v>
      </c>
      <c r="O35" s="9">
        <f>IF(Data!M36-4&gt;0,Data!M36-4,0)+O34</f>
        <v>0</v>
      </c>
      <c r="P35" s="9">
        <f>IF(Data!N36-4&gt;0,Data!N36-4,0)+P34</f>
        <v>0</v>
      </c>
      <c r="Q35" s="9"/>
      <c r="R35" s="9"/>
      <c r="S35" s="9"/>
      <c r="T35" s="9">
        <f>IF(Data!J36&gt;0,Data!J36,0)+T34</f>
        <v>0</v>
      </c>
      <c r="U35" s="9">
        <f>IF(Data!K36&gt;0,Data!K36,0)+U34</f>
        <v>0</v>
      </c>
      <c r="V35" s="9">
        <f>IF(Data!L36&gt;0,Data!L36,0)+V34</f>
        <v>0</v>
      </c>
      <c r="W35" s="9">
        <f>IF(Data!M36&gt;0,Data!M36,0)+W34</f>
        <v>0</v>
      </c>
      <c r="X35" s="9">
        <f>IF(Data!N36&gt;0,Data!N36,0)+X34</f>
        <v>0</v>
      </c>
      <c r="Y35" s="9"/>
      <c r="Z35" s="9"/>
      <c r="AA35" s="9"/>
    </row>
    <row r="36" spans="10:27" x14ac:dyDescent="0.25">
      <c r="J36" s="8">
        <v>46056</v>
      </c>
      <c r="K36" s="9">
        <v>143</v>
      </c>
      <c r="L36" s="9">
        <f>IF(Data!J37-4&gt;0,Data!J37-4,0)+L35</f>
        <v>0</v>
      </c>
      <c r="M36" s="9">
        <f>IF(Data!K37-4&gt;0,Data!K37-4,0)+M35</f>
        <v>0</v>
      </c>
      <c r="N36" s="9">
        <f>IF(Data!L37-4&gt;0,Data!L37-4,0)+N35</f>
        <v>0</v>
      </c>
      <c r="O36" s="9">
        <f>IF(Data!M37-4&gt;0,Data!M37-4,0)+O35</f>
        <v>0</v>
      </c>
      <c r="P36" s="9">
        <f>IF(Data!N37-4&gt;0,Data!N37-4,0)+P35</f>
        <v>0</v>
      </c>
      <c r="Q36" s="9"/>
      <c r="R36" s="9"/>
      <c r="S36" s="9"/>
      <c r="T36" s="9">
        <f>IF(Data!J37&gt;0,Data!J37,0)+T35</f>
        <v>0</v>
      </c>
      <c r="U36" s="9">
        <f>IF(Data!K37&gt;0,Data!K37,0)+U35</f>
        <v>0</v>
      </c>
      <c r="V36" s="9">
        <f>IF(Data!L37&gt;0,Data!L37,0)+V35</f>
        <v>0</v>
      </c>
      <c r="W36" s="9">
        <f>IF(Data!M37&gt;0,Data!M37,0)+W35</f>
        <v>0</v>
      </c>
      <c r="X36" s="9">
        <f>IF(Data!N37&gt;0,Data!N37,0)+X35</f>
        <v>0</v>
      </c>
      <c r="Y36" s="9"/>
      <c r="Z36" s="9"/>
      <c r="AA36" s="9"/>
    </row>
    <row r="37" spans="10:27" x14ac:dyDescent="0.25">
      <c r="J37" s="8">
        <v>46057</v>
      </c>
      <c r="K37" s="9">
        <v>143</v>
      </c>
      <c r="L37" s="9">
        <f>IF(Data!J38-4&gt;0,Data!J38-4,0)+L36</f>
        <v>0</v>
      </c>
      <c r="M37" s="9">
        <f>IF(Data!K38-4&gt;0,Data!K38-4,0)+M36</f>
        <v>0</v>
      </c>
      <c r="N37" s="9">
        <f>IF(Data!L38-4&gt;0,Data!L38-4,0)+N36</f>
        <v>0</v>
      </c>
      <c r="O37" s="9">
        <f>IF(Data!M38-4&gt;0,Data!M38-4,0)+O36</f>
        <v>0</v>
      </c>
      <c r="P37" s="9">
        <f>IF(Data!N38-4&gt;0,Data!N38-4,0)+P36</f>
        <v>0</v>
      </c>
      <c r="Q37" s="9"/>
      <c r="R37" s="9"/>
      <c r="S37" s="9"/>
      <c r="T37" s="9">
        <f>IF(Data!J38&gt;0,Data!J38,0)+T36</f>
        <v>0</v>
      </c>
      <c r="U37" s="9">
        <f>IF(Data!K38&gt;0,Data!K38,0)+U36</f>
        <v>0</v>
      </c>
      <c r="V37" s="9">
        <f>IF(Data!L38&gt;0,Data!L38,0)+V36</f>
        <v>0</v>
      </c>
      <c r="W37" s="9">
        <f>IF(Data!M38&gt;0,Data!M38,0)+W36</f>
        <v>0</v>
      </c>
      <c r="X37" s="9">
        <f>IF(Data!N38&gt;0,Data!N38,0)+X36</f>
        <v>0</v>
      </c>
      <c r="Y37" s="9"/>
      <c r="Z37" s="9"/>
      <c r="AA37" s="9"/>
    </row>
    <row r="38" spans="10:27" x14ac:dyDescent="0.25">
      <c r="J38" s="8">
        <v>46058</v>
      </c>
      <c r="K38" s="9">
        <v>143</v>
      </c>
      <c r="L38" s="9">
        <f>IF(Data!J39-4&gt;0,Data!J39-4,0)+L37</f>
        <v>0</v>
      </c>
      <c r="M38" s="9">
        <f>IF(Data!K39-4&gt;0,Data!K39-4,0)+M37</f>
        <v>0</v>
      </c>
      <c r="N38" s="9">
        <f>IF(Data!L39-4&gt;0,Data!L39-4,0)+N37</f>
        <v>0</v>
      </c>
      <c r="O38" s="9">
        <f>IF(Data!M39-4&gt;0,Data!M39-4,0)+O37</f>
        <v>0</v>
      </c>
      <c r="P38" s="9">
        <f>IF(Data!N39-4&gt;0,Data!N39-4,0)+P37</f>
        <v>0</v>
      </c>
      <c r="Q38" s="9"/>
      <c r="R38" s="9"/>
      <c r="S38" s="9"/>
      <c r="T38" s="9">
        <f>IF(Data!J39&gt;0,Data!J39,0)+T37</f>
        <v>0</v>
      </c>
      <c r="U38" s="9">
        <f>IF(Data!K39&gt;0,Data!K39,0)+U37</f>
        <v>0</v>
      </c>
      <c r="V38" s="9">
        <f>IF(Data!L39&gt;0,Data!L39,0)+V37</f>
        <v>0</v>
      </c>
      <c r="W38" s="9">
        <f>IF(Data!M39&gt;0,Data!M39,0)+W37</f>
        <v>0</v>
      </c>
      <c r="X38" s="9">
        <f>IF(Data!N39&gt;0,Data!N39,0)+X37</f>
        <v>0</v>
      </c>
      <c r="Y38" s="9"/>
      <c r="Z38" s="9"/>
      <c r="AA38" s="9"/>
    </row>
    <row r="39" spans="10:27" x14ac:dyDescent="0.25">
      <c r="J39" s="8">
        <v>46059</v>
      </c>
      <c r="K39" s="9">
        <v>143</v>
      </c>
      <c r="L39" s="9">
        <f>IF(Data!J40-4&gt;0,Data!J40-4,0)+L38</f>
        <v>0</v>
      </c>
      <c r="M39" s="9">
        <f>IF(Data!K40-4&gt;0,Data!K40-4,0)+M38</f>
        <v>0</v>
      </c>
      <c r="N39" s="9">
        <f>IF(Data!L40-4&gt;0,Data!L40-4,0)+N38</f>
        <v>0</v>
      </c>
      <c r="O39" s="9">
        <f>IF(Data!M40-4&gt;0,Data!M40-4,0)+O38</f>
        <v>0</v>
      </c>
      <c r="P39" s="9">
        <f>IF(Data!N40-4&gt;0,Data!N40-4,0)+P38</f>
        <v>0</v>
      </c>
      <c r="Q39" s="9"/>
      <c r="R39" s="9"/>
      <c r="S39" s="9"/>
      <c r="T39" s="9">
        <f>IF(Data!J40&gt;0,Data!J40,0)+T38</f>
        <v>0</v>
      </c>
      <c r="U39" s="9">
        <f>IF(Data!K40&gt;0,Data!K40,0)+U38</f>
        <v>0</v>
      </c>
      <c r="V39" s="9">
        <f>IF(Data!L40&gt;0,Data!L40,0)+V38</f>
        <v>0</v>
      </c>
      <c r="W39" s="9">
        <f>IF(Data!M40&gt;0,Data!M40,0)+W38</f>
        <v>0</v>
      </c>
      <c r="X39" s="9">
        <f>IF(Data!N40&gt;0,Data!N40,0)+X38</f>
        <v>0</v>
      </c>
      <c r="Y39" s="9"/>
      <c r="Z39" s="9"/>
      <c r="AA39" s="9"/>
    </row>
    <row r="40" spans="10:27" x14ac:dyDescent="0.25">
      <c r="J40" s="8">
        <v>46060</v>
      </c>
      <c r="K40" s="9">
        <v>143</v>
      </c>
      <c r="L40" s="9">
        <f>IF(Data!J41-4&gt;0,Data!J41-4,0)+L39</f>
        <v>0</v>
      </c>
      <c r="M40" s="9">
        <f>IF(Data!K41-4&gt;0,Data!K41-4,0)+M39</f>
        <v>0</v>
      </c>
      <c r="N40" s="9">
        <f>IF(Data!L41-4&gt;0,Data!L41-4,0)+N39</f>
        <v>0</v>
      </c>
      <c r="O40" s="9">
        <f>IF(Data!M41-4&gt;0,Data!M41-4,0)+O39</f>
        <v>0</v>
      </c>
      <c r="P40" s="9">
        <f>IF(Data!N41-4&gt;0,Data!N41-4,0)+P39</f>
        <v>0</v>
      </c>
      <c r="Q40" s="9"/>
      <c r="R40" s="9"/>
      <c r="S40" s="9"/>
      <c r="T40" s="9">
        <f>IF(Data!J41&gt;0,Data!J41,0)+T39</f>
        <v>0</v>
      </c>
      <c r="U40" s="9">
        <f>IF(Data!K41&gt;0,Data!K41,0)+U39</f>
        <v>0</v>
      </c>
      <c r="V40" s="9">
        <f>IF(Data!L41&gt;0,Data!L41,0)+V39</f>
        <v>0</v>
      </c>
      <c r="W40" s="9">
        <f>IF(Data!M41&gt;0,Data!M41,0)+W39</f>
        <v>0</v>
      </c>
      <c r="X40" s="9">
        <f>IF(Data!N41&gt;0,Data!N41,0)+X39</f>
        <v>0</v>
      </c>
      <c r="Y40" s="9"/>
      <c r="Z40" s="9"/>
      <c r="AA40" s="9"/>
    </row>
    <row r="41" spans="10:27" x14ac:dyDescent="0.25">
      <c r="J41" s="8">
        <v>46061</v>
      </c>
      <c r="K41" s="9">
        <v>143</v>
      </c>
      <c r="L41" s="9">
        <f>IF(Data!J42-4&gt;0,Data!J42-4,0)+L40</f>
        <v>0</v>
      </c>
      <c r="M41" s="9">
        <f>IF(Data!K42-4&gt;0,Data!K42-4,0)+M40</f>
        <v>0</v>
      </c>
      <c r="N41" s="9">
        <f>IF(Data!L42-4&gt;0,Data!L42-4,0)+N40</f>
        <v>0</v>
      </c>
      <c r="O41" s="9">
        <f>IF(Data!M42-4&gt;0,Data!M42-4,0)+O40</f>
        <v>0</v>
      </c>
      <c r="P41" s="9">
        <f>IF(Data!N42-4&gt;0,Data!N42-4,0)+P40</f>
        <v>0</v>
      </c>
      <c r="Q41" s="9"/>
      <c r="R41" s="9"/>
      <c r="S41" s="9"/>
      <c r="T41" s="9">
        <f>IF(Data!J42&gt;0,Data!J42,0)+T40</f>
        <v>0</v>
      </c>
      <c r="U41" s="9">
        <f>IF(Data!K42&gt;0,Data!K42,0)+U40</f>
        <v>0</v>
      </c>
      <c r="V41" s="9">
        <f>IF(Data!L42&gt;0,Data!L42,0)+V40</f>
        <v>0</v>
      </c>
      <c r="W41" s="9">
        <f>IF(Data!M42&gt;0,Data!M42,0)+W40</f>
        <v>0</v>
      </c>
      <c r="X41" s="9">
        <f>IF(Data!N42&gt;0,Data!N42,0)+X40</f>
        <v>0</v>
      </c>
      <c r="Y41" s="9"/>
      <c r="Z41" s="9"/>
      <c r="AA41" s="9"/>
    </row>
    <row r="42" spans="10:27" x14ac:dyDescent="0.25">
      <c r="J42" s="8">
        <v>46062</v>
      </c>
      <c r="K42" s="9">
        <v>143</v>
      </c>
      <c r="L42" s="9">
        <f>IF(Data!J43-4&gt;0,Data!J43-4,0)+L41</f>
        <v>0</v>
      </c>
      <c r="M42" s="9">
        <f>IF(Data!K43-4&gt;0,Data!K43-4,0)+M41</f>
        <v>0</v>
      </c>
      <c r="N42" s="9">
        <f>IF(Data!L43-4&gt;0,Data!L43-4,0)+N41</f>
        <v>0</v>
      </c>
      <c r="O42" s="9">
        <f>IF(Data!M43-4&gt;0,Data!M43-4,0)+O41</f>
        <v>0</v>
      </c>
      <c r="P42" s="9">
        <f>IF(Data!N43-4&gt;0,Data!N43-4,0)+P41</f>
        <v>0</v>
      </c>
      <c r="Q42" s="9"/>
      <c r="R42" s="9"/>
      <c r="S42" s="9"/>
      <c r="T42" s="9">
        <f>IF(Data!J43&gt;0,Data!J43,0)+T41</f>
        <v>0</v>
      </c>
      <c r="U42" s="9">
        <f>IF(Data!K43&gt;0,Data!K43,0)+U41</f>
        <v>0</v>
      </c>
      <c r="V42" s="9">
        <f>IF(Data!L43&gt;0,Data!L43,0)+V41</f>
        <v>0</v>
      </c>
      <c r="W42" s="9">
        <f>IF(Data!M43&gt;0,Data!M43,0)+W41</f>
        <v>0</v>
      </c>
      <c r="X42" s="9">
        <f>IF(Data!N43&gt;0,Data!N43,0)+X41</f>
        <v>0</v>
      </c>
      <c r="Y42" s="9"/>
      <c r="Z42" s="9"/>
      <c r="AA42" s="9"/>
    </row>
    <row r="43" spans="10:27" x14ac:dyDescent="0.25">
      <c r="J43" s="8">
        <v>46063</v>
      </c>
      <c r="K43" s="9">
        <v>143</v>
      </c>
      <c r="L43" s="9">
        <f>IF(Data!J44-4&gt;0,Data!J44-4,0)+L42</f>
        <v>0</v>
      </c>
      <c r="M43" s="9">
        <f>IF(Data!K44-4&gt;0,Data!K44-4,0)+M42</f>
        <v>0</v>
      </c>
      <c r="N43" s="9">
        <f>IF(Data!L44-4&gt;0,Data!L44-4,0)+N42</f>
        <v>0</v>
      </c>
      <c r="O43" s="9">
        <f>IF(Data!M44-4&gt;0,Data!M44-4,0)+O42</f>
        <v>0</v>
      </c>
      <c r="P43" s="9">
        <f>IF(Data!N44-4&gt;0,Data!N44-4,0)+P42</f>
        <v>0</v>
      </c>
      <c r="Q43" s="9"/>
      <c r="R43" s="9"/>
      <c r="S43" s="9"/>
      <c r="T43" s="9">
        <f>IF(Data!J44&gt;0,Data!J44,0)+T42</f>
        <v>0</v>
      </c>
      <c r="U43" s="9">
        <f>IF(Data!K44&gt;0,Data!K44,0)+U42</f>
        <v>0</v>
      </c>
      <c r="V43" s="9">
        <f>IF(Data!L44&gt;0,Data!L44,0)+V42</f>
        <v>0</v>
      </c>
      <c r="W43" s="9">
        <f>IF(Data!M44&gt;0,Data!M44,0)+W42</f>
        <v>0</v>
      </c>
      <c r="X43" s="9">
        <f>IF(Data!N44&gt;0,Data!N44,0)+X42</f>
        <v>0</v>
      </c>
      <c r="Y43" s="9"/>
      <c r="Z43" s="9"/>
      <c r="AA43" s="9"/>
    </row>
    <row r="44" spans="10:27" x14ac:dyDescent="0.25">
      <c r="J44" s="8">
        <v>46064</v>
      </c>
      <c r="K44" s="9">
        <v>143</v>
      </c>
      <c r="L44" s="9">
        <f>IF(Data!J45-4&gt;0,Data!J45-4,0)+L43</f>
        <v>0</v>
      </c>
      <c r="M44" s="9">
        <f>IF(Data!K45-4&gt;0,Data!K45-4,0)+M43</f>
        <v>0</v>
      </c>
      <c r="N44" s="9">
        <f>IF(Data!L45-4&gt;0,Data!L45-4,0)+N43</f>
        <v>0</v>
      </c>
      <c r="O44" s="9">
        <f>IF(Data!M45-4&gt;0,Data!M45-4,0)+O43</f>
        <v>0</v>
      </c>
      <c r="P44" s="9">
        <f>IF(Data!N45-4&gt;0,Data!N45-4,0)+P43</f>
        <v>0</v>
      </c>
      <c r="Q44" s="9"/>
      <c r="R44" s="9"/>
      <c r="S44" s="9"/>
      <c r="T44" s="9">
        <f>IF(Data!J45&gt;0,Data!J45,0)+T43</f>
        <v>0</v>
      </c>
      <c r="U44" s="9">
        <f>IF(Data!K45&gt;0,Data!K45,0)+U43</f>
        <v>0</v>
      </c>
      <c r="V44" s="9">
        <f>IF(Data!L45&gt;0,Data!L45,0)+V43</f>
        <v>0</v>
      </c>
      <c r="W44" s="9">
        <f>IF(Data!M45&gt;0,Data!M45,0)+W43</f>
        <v>0</v>
      </c>
      <c r="X44" s="9">
        <f>IF(Data!N45&gt;0,Data!N45,0)+X43</f>
        <v>0</v>
      </c>
      <c r="Y44" s="9"/>
      <c r="Z44" s="9"/>
      <c r="AA44" s="9"/>
    </row>
    <row r="45" spans="10:27" x14ac:dyDescent="0.25">
      <c r="J45" s="8">
        <v>46065</v>
      </c>
      <c r="K45" s="9">
        <v>143</v>
      </c>
      <c r="L45" s="9">
        <f>IF(Data!J46-4&gt;0,Data!J46-4,0)+L44</f>
        <v>0</v>
      </c>
      <c r="M45" s="9">
        <f>IF(Data!K46-4&gt;0,Data!K46-4,0)+M44</f>
        <v>0</v>
      </c>
      <c r="N45" s="9">
        <f>IF(Data!L46-4&gt;0,Data!L46-4,0)+N44</f>
        <v>0</v>
      </c>
      <c r="O45" s="9">
        <f>IF(Data!M46-4&gt;0,Data!M46-4,0)+O44</f>
        <v>0</v>
      </c>
      <c r="P45" s="9">
        <f>IF(Data!N46-4&gt;0,Data!N46-4,0)+P44</f>
        <v>0</v>
      </c>
      <c r="Q45" s="9"/>
      <c r="R45" s="9"/>
      <c r="S45" s="9"/>
      <c r="T45" s="9">
        <f>IF(Data!J46&gt;0,Data!J46,0)+T44</f>
        <v>0</v>
      </c>
      <c r="U45" s="9">
        <f>IF(Data!K46&gt;0,Data!K46,0)+U44</f>
        <v>0</v>
      </c>
      <c r="V45" s="9">
        <f>IF(Data!L46&gt;0,Data!L46,0)+V44</f>
        <v>0</v>
      </c>
      <c r="W45" s="9">
        <f>IF(Data!M46&gt;0,Data!M46,0)+W44</f>
        <v>0</v>
      </c>
      <c r="X45" s="9">
        <f>IF(Data!N46&gt;0,Data!N46,0)+X44</f>
        <v>0</v>
      </c>
      <c r="Y45" s="9"/>
      <c r="Z45" s="9"/>
      <c r="AA45" s="9"/>
    </row>
    <row r="46" spans="10:27" x14ac:dyDescent="0.25">
      <c r="J46" s="8">
        <v>46066</v>
      </c>
      <c r="K46" s="9">
        <v>143</v>
      </c>
      <c r="L46" s="9">
        <f>IF(Data!J47-4&gt;0,Data!J47-4,0)+L45</f>
        <v>0</v>
      </c>
      <c r="M46" s="9">
        <f>IF(Data!K47-4&gt;0,Data!K47-4,0)+M45</f>
        <v>0</v>
      </c>
      <c r="N46" s="9">
        <f>IF(Data!L47-4&gt;0,Data!L47-4,0)+N45</f>
        <v>0</v>
      </c>
      <c r="O46" s="9">
        <f>IF(Data!M47-4&gt;0,Data!M47-4,0)+O45</f>
        <v>0</v>
      </c>
      <c r="P46" s="9">
        <f>IF(Data!N47-4&gt;0,Data!N47-4,0)+P45</f>
        <v>0</v>
      </c>
      <c r="Q46" s="9"/>
      <c r="R46" s="9"/>
      <c r="S46" s="9"/>
      <c r="T46" s="9">
        <f>IF(Data!J47&gt;0,Data!J47,0)+T45</f>
        <v>0</v>
      </c>
      <c r="U46" s="9">
        <f>IF(Data!K47&gt;0,Data!K47,0)+U45</f>
        <v>0</v>
      </c>
      <c r="V46" s="9">
        <f>IF(Data!L47&gt;0,Data!L47,0)+V45</f>
        <v>0</v>
      </c>
      <c r="W46" s="9">
        <f>IF(Data!M47&gt;0,Data!M47,0)+W45</f>
        <v>0</v>
      </c>
      <c r="X46" s="9">
        <f>IF(Data!N47&gt;0,Data!N47,0)+X45</f>
        <v>0</v>
      </c>
      <c r="Y46" s="9"/>
      <c r="Z46" s="9"/>
      <c r="AA46" s="9"/>
    </row>
    <row r="47" spans="10:27" x14ac:dyDescent="0.25">
      <c r="J47" s="8">
        <v>46067</v>
      </c>
      <c r="K47" s="9">
        <v>143</v>
      </c>
      <c r="L47" s="9">
        <f>IF(Data!J48-4&gt;0,Data!J48-4,0)+L46</f>
        <v>0</v>
      </c>
      <c r="M47" s="9">
        <f>IF(Data!K48-4&gt;0,Data!K48-4,0)+M46</f>
        <v>0</v>
      </c>
      <c r="N47" s="9">
        <f>IF(Data!L48-4&gt;0,Data!L48-4,0)+N46</f>
        <v>0</v>
      </c>
      <c r="O47" s="9">
        <f>IF(Data!M48-4&gt;0,Data!M48-4,0)+O46</f>
        <v>0</v>
      </c>
      <c r="P47" s="9">
        <f>IF(Data!N48-4&gt;0,Data!N48-4,0)+P46</f>
        <v>0</v>
      </c>
      <c r="Q47" s="9"/>
      <c r="R47" s="9"/>
      <c r="S47" s="9"/>
      <c r="T47" s="9">
        <f>IF(Data!J48&gt;0,Data!J48,0)+T46</f>
        <v>0</v>
      </c>
      <c r="U47" s="9">
        <f>IF(Data!K48&gt;0,Data!K48,0)+U46</f>
        <v>0</v>
      </c>
      <c r="V47" s="9">
        <f>IF(Data!L48&gt;0,Data!L48,0)+V46</f>
        <v>0</v>
      </c>
      <c r="W47" s="9">
        <f>IF(Data!M48&gt;0,Data!M48,0)+W46</f>
        <v>0</v>
      </c>
      <c r="X47" s="9">
        <f>IF(Data!N48&gt;0,Data!N48,0)+X46</f>
        <v>0</v>
      </c>
      <c r="Y47" s="9"/>
      <c r="Z47" s="9"/>
      <c r="AA47" s="9"/>
    </row>
    <row r="48" spans="10:27" x14ac:dyDescent="0.25">
      <c r="J48" s="8">
        <v>46068</v>
      </c>
      <c r="K48" s="9">
        <v>143</v>
      </c>
      <c r="L48" s="9">
        <f>IF(Data!J49-4&gt;0,Data!J49-4,0)+L47</f>
        <v>0</v>
      </c>
      <c r="M48" s="9">
        <f>IF(Data!K49-4&gt;0,Data!K49-4,0)+M47</f>
        <v>0</v>
      </c>
      <c r="N48" s="9">
        <f>IF(Data!L49-4&gt;0,Data!L49-4,0)+N47</f>
        <v>0</v>
      </c>
      <c r="O48" s="9">
        <f>IF(Data!M49-4&gt;0,Data!M49-4,0)+O47</f>
        <v>0</v>
      </c>
      <c r="P48" s="9">
        <f>IF(Data!N49-4&gt;0,Data!N49-4,0)+P47</f>
        <v>0</v>
      </c>
      <c r="Q48" s="9"/>
      <c r="R48" s="9"/>
      <c r="S48" s="9"/>
      <c r="T48" s="9">
        <f>IF(Data!J49&gt;0,Data!J49,0)+T47</f>
        <v>0</v>
      </c>
      <c r="U48" s="9">
        <f>IF(Data!K49&gt;0,Data!K49,0)+U47</f>
        <v>0</v>
      </c>
      <c r="V48" s="9">
        <f>IF(Data!L49&gt;0,Data!L49,0)+V47</f>
        <v>0</v>
      </c>
      <c r="W48" s="9">
        <f>IF(Data!M49&gt;0,Data!M49,0)+W47</f>
        <v>0</v>
      </c>
      <c r="X48" s="9">
        <f>IF(Data!N49&gt;0,Data!N49,0)+X47</f>
        <v>0</v>
      </c>
      <c r="Y48" s="9"/>
      <c r="Z48" s="9"/>
      <c r="AA48" s="9"/>
    </row>
    <row r="49" spans="10:27" x14ac:dyDescent="0.25">
      <c r="J49" s="8">
        <v>46069</v>
      </c>
      <c r="K49" s="9">
        <v>143</v>
      </c>
      <c r="L49" s="9">
        <f>IF(Data!J50-4&gt;0,Data!J50-4,0)+L48</f>
        <v>0</v>
      </c>
      <c r="M49" s="9">
        <f>IF(Data!K50-4&gt;0,Data!K50-4,0)+M48</f>
        <v>0</v>
      </c>
      <c r="N49" s="9">
        <f>IF(Data!L50-4&gt;0,Data!L50-4,0)+N48</f>
        <v>0</v>
      </c>
      <c r="O49" s="9">
        <f>IF(Data!M50-4&gt;0,Data!M50-4,0)+O48</f>
        <v>0</v>
      </c>
      <c r="P49" s="9">
        <f>IF(Data!N50-4&gt;0,Data!N50-4,0)+P48</f>
        <v>0</v>
      </c>
      <c r="Q49" s="9"/>
      <c r="R49" s="9"/>
      <c r="S49" s="9"/>
      <c r="T49" s="9">
        <f>IF(Data!J50&gt;0,Data!J50,0)+T48</f>
        <v>0</v>
      </c>
      <c r="U49" s="9">
        <f>IF(Data!K50&gt;0,Data!K50,0)+U48</f>
        <v>0</v>
      </c>
      <c r="V49" s="9">
        <f>IF(Data!L50&gt;0,Data!L50,0)+V48</f>
        <v>0</v>
      </c>
      <c r="W49" s="9">
        <f>IF(Data!M50&gt;0,Data!M50,0)+W48</f>
        <v>0</v>
      </c>
      <c r="X49" s="9">
        <f>IF(Data!N50&gt;0,Data!N50,0)+X48</f>
        <v>0</v>
      </c>
      <c r="Y49" s="9"/>
      <c r="Z49" s="9"/>
      <c r="AA49" s="9"/>
    </row>
    <row r="50" spans="10:27" x14ac:dyDescent="0.25">
      <c r="J50" s="8">
        <v>46070</v>
      </c>
      <c r="K50" s="9">
        <v>143</v>
      </c>
      <c r="L50" s="9">
        <f>IF(Data!J51-4&gt;0,Data!J51-4,0)+L49</f>
        <v>0</v>
      </c>
      <c r="M50" s="9">
        <f>IF(Data!K51-4&gt;0,Data!K51-4,0)+M49</f>
        <v>0</v>
      </c>
      <c r="N50" s="9">
        <f>IF(Data!L51-4&gt;0,Data!L51-4,0)+N49</f>
        <v>0</v>
      </c>
      <c r="O50" s="9">
        <f>IF(Data!M51-4&gt;0,Data!M51-4,0)+O49</f>
        <v>0</v>
      </c>
      <c r="P50" s="9">
        <f>IF(Data!N51-4&gt;0,Data!N51-4,0)+P49</f>
        <v>0</v>
      </c>
      <c r="Q50" s="9"/>
      <c r="R50" s="9"/>
      <c r="S50" s="9"/>
      <c r="T50" s="9">
        <f>IF(Data!J51&gt;0,Data!J51,0)+T49</f>
        <v>0</v>
      </c>
      <c r="U50" s="9">
        <f>IF(Data!K51&gt;0,Data!K51,0)+U49</f>
        <v>0</v>
      </c>
      <c r="V50" s="9">
        <f>IF(Data!L51&gt;0,Data!L51,0)+V49</f>
        <v>0</v>
      </c>
      <c r="W50" s="9">
        <f>IF(Data!M51&gt;0,Data!M51,0)+W49</f>
        <v>0</v>
      </c>
      <c r="X50" s="9">
        <f>IF(Data!N51&gt;0,Data!N51,0)+X49</f>
        <v>0</v>
      </c>
      <c r="Y50" s="9"/>
      <c r="Z50" s="9"/>
      <c r="AA50" s="9"/>
    </row>
    <row r="51" spans="10:27" x14ac:dyDescent="0.25">
      <c r="J51" s="8">
        <v>46071</v>
      </c>
      <c r="K51" s="9">
        <v>143</v>
      </c>
      <c r="L51" s="9">
        <f>IF(Data!J52-4&gt;0,Data!J52-4,0)+L50</f>
        <v>0</v>
      </c>
      <c r="M51" s="9">
        <f>IF(Data!K52-4&gt;0,Data!K52-4,0)+M50</f>
        <v>0</v>
      </c>
      <c r="N51" s="9">
        <f>IF(Data!L52-4&gt;0,Data!L52-4,0)+N50</f>
        <v>0</v>
      </c>
      <c r="O51" s="9">
        <f>IF(Data!M52-4&gt;0,Data!M52-4,0)+O50</f>
        <v>0</v>
      </c>
      <c r="P51" s="9">
        <f>IF(Data!N52-4&gt;0,Data!N52-4,0)+P50</f>
        <v>0</v>
      </c>
      <c r="Q51" s="9"/>
      <c r="R51" s="9"/>
      <c r="S51" s="9"/>
      <c r="T51" s="9">
        <f>IF(Data!J52&gt;0,Data!J52,0)+T50</f>
        <v>0</v>
      </c>
      <c r="U51" s="9">
        <f>IF(Data!K52&gt;0,Data!K52,0)+U50</f>
        <v>0</v>
      </c>
      <c r="V51" s="9">
        <f>IF(Data!L52&gt;0,Data!L52,0)+V50</f>
        <v>0</v>
      </c>
      <c r="W51" s="9">
        <f>IF(Data!M52&gt;0,Data!M52,0)+W50</f>
        <v>0</v>
      </c>
      <c r="X51" s="9">
        <f>IF(Data!N52&gt;0,Data!N52,0)+X50</f>
        <v>0</v>
      </c>
      <c r="Y51" s="9"/>
      <c r="Z51" s="9"/>
      <c r="AA51" s="9"/>
    </row>
    <row r="52" spans="10:27" x14ac:dyDescent="0.25">
      <c r="J52" s="8">
        <v>46072</v>
      </c>
      <c r="K52" s="9">
        <v>143</v>
      </c>
      <c r="L52" s="9">
        <f>IF(Data!J53-4&gt;0,Data!J53-4,0)+L51</f>
        <v>0</v>
      </c>
      <c r="M52" s="9">
        <f>IF(Data!K53-4&gt;0,Data!K53-4,0)+M51</f>
        <v>0</v>
      </c>
      <c r="N52" s="9">
        <f>IF(Data!L53-4&gt;0,Data!L53-4,0)+N51</f>
        <v>0</v>
      </c>
      <c r="O52" s="9">
        <f>IF(Data!M53-4&gt;0,Data!M53-4,0)+O51</f>
        <v>0</v>
      </c>
      <c r="P52" s="9">
        <f>IF(Data!N53-4&gt;0,Data!N53-4,0)+P51</f>
        <v>0</v>
      </c>
      <c r="Q52" s="9"/>
      <c r="R52" s="9"/>
      <c r="S52" s="9"/>
      <c r="T52" s="9">
        <f>IF(Data!J53&gt;0,Data!J53,0)+T51</f>
        <v>0</v>
      </c>
      <c r="U52" s="9">
        <f>IF(Data!K53&gt;0,Data!K53,0)+U51</f>
        <v>0</v>
      </c>
      <c r="V52" s="9">
        <f>IF(Data!L53&gt;0,Data!L53,0)+V51</f>
        <v>0</v>
      </c>
      <c r="W52" s="9">
        <f>IF(Data!M53&gt;0,Data!M53,0)+W51</f>
        <v>0</v>
      </c>
      <c r="X52" s="9">
        <f>IF(Data!N53&gt;0,Data!N53,0)+X51</f>
        <v>0</v>
      </c>
      <c r="Y52" s="9"/>
      <c r="Z52" s="9"/>
      <c r="AA52" s="9"/>
    </row>
    <row r="53" spans="10:27" x14ac:dyDescent="0.25">
      <c r="J53" s="8">
        <v>46073</v>
      </c>
      <c r="K53" s="9">
        <v>143</v>
      </c>
      <c r="L53" s="9">
        <f>IF(Data!J54-4&gt;0,Data!J54-4,0)+L52</f>
        <v>0</v>
      </c>
      <c r="M53" s="9">
        <f>IF(Data!K54-4&gt;0,Data!K54-4,0)+M52</f>
        <v>0</v>
      </c>
      <c r="N53" s="9">
        <f>IF(Data!L54-4&gt;0,Data!L54-4,0)+N52</f>
        <v>0</v>
      </c>
      <c r="O53" s="9">
        <f>IF(Data!M54-4&gt;0,Data!M54-4,0)+O52</f>
        <v>0</v>
      </c>
      <c r="P53" s="9">
        <f>IF(Data!N54-4&gt;0,Data!N54-4,0)+P52</f>
        <v>0</v>
      </c>
      <c r="Q53" s="9"/>
      <c r="R53" s="9"/>
      <c r="S53" s="9"/>
      <c r="T53" s="9">
        <f>IF(Data!J54&gt;0,Data!J54,0)+T52</f>
        <v>0</v>
      </c>
      <c r="U53" s="9">
        <f>IF(Data!K54&gt;0,Data!K54,0)+U52</f>
        <v>0</v>
      </c>
      <c r="V53" s="9">
        <f>IF(Data!L54&gt;0,Data!L54,0)+V52</f>
        <v>0</v>
      </c>
      <c r="W53" s="9">
        <f>IF(Data!M54&gt;0,Data!M54,0)+W52</f>
        <v>0</v>
      </c>
      <c r="X53" s="9">
        <f>IF(Data!N54&gt;0,Data!N54,0)+X52</f>
        <v>0</v>
      </c>
      <c r="Y53" s="9"/>
      <c r="Z53" s="9"/>
      <c r="AA53" s="9"/>
    </row>
    <row r="54" spans="10:27" x14ac:dyDescent="0.25">
      <c r="J54" s="8">
        <v>46074</v>
      </c>
      <c r="K54" s="9">
        <v>143</v>
      </c>
      <c r="L54" s="9">
        <f>IF(Data!J55-4&gt;0,Data!J55-4,0)+L53</f>
        <v>0</v>
      </c>
      <c r="M54" s="9">
        <f>IF(Data!K55-4&gt;0,Data!K55-4,0)+M53</f>
        <v>0</v>
      </c>
      <c r="N54" s="9">
        <f>IF(Data!L55-4&gt;0,Data!L55-4,0)+N53</f>
        <v>0</v>
      </c>
      <c r="O54" s="9">
        <f>IF(Data!M55-4&gt;0,Data!M55-4,0)+O53</f>
        <v>0</v>
      </c>
      <c r="P54" s="9">
        <f>IF(Data!N55-4&gt;0,Data!N55-4,0)+P53</f>
        <v>0</v>
      </c>
      <c r="Q54" s="9"/>
      <c r="R54" s="9"/>
      <c r="S54" s="9"/>
      <c r="T54" s="9">
        <f>IF(Data!J55&gt;0,Data!J55,0)+T53</f>
        <v>0</v>
      </c>
      <c r="U54" s="9">
        <f>IF(Data!K55&gt;0,Data!K55,0)+U53</f>
        <v>0</v>
      </c>
      <c r="V54" s="9">
        <f>IF(Data!L55&gt;0,Data!L55,0)+V53</f>
        <v>0</v>
      </c>
      <c r="W54" s="9">
        <f>IF(Data!M55&gt;0,Data!M55,0)+W53</f>
        <v>0</v>
      </c>
      <c r="X54" s="9">
        <f>IF(Data!N55&gt;0,Data!N55,0)+X53</f>
        <v>0</v>
      </c>
      <c r="Y54" s="9"/>
      <c r="Z54" s="9"/>
      <c r="AA54" s="9"/>
    </row>
    <row r="55" spans="10:27" x14ac:dyDescent="0.25">
      <c r="J55" s="8">
        <v>46075</v>
      </c>
      <c r="K55" s="9">
        <v>143</v>
      </c>
      <c r="L55" s="9">
        <f>IF(Data!J56-4&gt;0,Data!J56-4,0)+L54</f>
        <v>0</v>
      </c>
      <c r="M55" s="9">
        <f>IF(Data!K56-4&gt;0,Data!K56-4,0)+M54</f>
        <v>0</v>
      </c>
      <c r="N55" s="9">
        <f>IF(Data!L56-4&gt;0,Data!L56-4,0)+N54</f>
        <v>0</v>
      </c>
      <c r="O55" s="9">
        <f>IF(Data!M56-4&gt;0,Data!M56-4,0)+O54</f>
        <v>0</v>
      </c>
      <c r="P55" s="9">
        <f>IF(Data!N56-4&gt;0,Data!N56-4,0)+P54</f>
        <v>0</v>
      </c>
      <c r="Q55" s="9"/>
      <c r="R55" s="9"/>
      <c r="S55" s="9"/>
      <c r="T55" s="9">
        <f>IF(Data!J56&gt;0,Data!J56,0)+T54</f>
        <v>0</v>
      </c>
      <c r="U55" s="9">
        <f>IF(Data!K56&gt;0,Data!K56,0)+U54</f>
        <v>0</v>
      </c>
      <c r="V55" s="9">
        <f>IF(Data!L56&gt;0,Data!L56,0)+V54</f>
        <v>0</v>
      </c>
      <c r="W55" s="9">
        <f>IF(Data!M56&gt;0,Data!M56,0)+W54</f>
        <v>0</v>
      </c>
      <c r="X55" s="9">
        <f>IF(Data!N56&gt;0,Data!N56,0)+X54</f>
        <v>0</v>
      </c>
      <c r="Y55" s="9"/>
      <c r="Z55" s="9"/>
      <c r="AA55" s="9"/>
    </row>
    <row r="56" spans="10:27" x14ac:dyDescent="0.25">
      <c r="J56" s="8">
        <v>46076</v>
      </c>
      <c r="K56" s="9">
        <v>143</v>
      </c>
      <c r="L56" s="9">
        <f>IF(Data!J57-4&gt;0,Data!J57-4,0)+L55</f>
        <v>0</v>
      </c>
      <c r="M56" s="9">
        <f>IF(Data!K57-4&gt;0,Data!K57-4,0)+M55</f>
        <v>0</v>
      </c>
      <c r="N56" s="9">
        <f>IF(Data!L57-4&gt;0,Data!L57-4,0)+N55</f>
        <v>0</v>
      </c>
      <c r="O56" s="9">
        <f>IF(Data!M57-4&gt;0,Data!M57-4,0)+O55</f>
        <v>0</v>
      </c>
      <c r="P56" s="9">
        <f>IF(Data!N57-4&gt;0,Data!N57-4,0)+P55</f>
        <v>0</v>
      </c>
      <c r="Q56" s="9"/>
      <c r="R56" s="9"/>
      <c r="S56" s="9"/>
      <c r="T56" s="9">
        <f>IF(Data!J57&gt;0,Data!J57,0)+T55</f>
        <v>0</v>
      </c>
      <c r="U56" s="9">
        <f>IF(Data!K57&gt;0,Data!K57,0)+U55</f>
        <v>0</v>
      </c>
      <c r="V56" s="9">
        <f>IF(Data!L57&gt;0,Data!L57,0)+V55</f>
        <v>0</v>
      </c>
      <c r="W56" s="9">
        <f>IF(Data!M57&gt;0,Data!M57,0)+W55</f>
        <v>0</v>
      </c>
      <c r="X56" s="9">
        <f>IF(Data!N57&gt;0,Data!N57,0)+X55</f>
        <v>0</v>
      </c>
      <c r="Y56" s="9"/>
      <c r="Z56" s="9"/>
      <c r="AA56" s="9"/>
    </row>
    <row r="57" spans="10:27" x14ac:dyDescent="0.25">
      <c r="J57" s="8">
        <v>46077</v>
      </c>
      <c r="K57" s="9">
        <v>143</v>
      </c>
      <c r="L57" s="9">
        <f>IF(Data!J58-4&gt;0,Data!J58-4,0)+L56</f>
        <v>0</v>
      </c>
      <c r="M57" s="9">
        <f>IF(Data!K58-4&gt;0,Data!K58-4,0)+M56</f>
        <v>0</v>
      </c>
      <c r="N57" s="9">
        <f>IF(Data!L58-4&gt;0,Data!L58-4,0)+N56</f>
        <v>0</v>
      </c>
      <c r="O57" s="9">
        <f>IF(Data!M58-4&gt;0,Data!M58-4,0)+O56</f>
        <v>0</v>
      </c>
      <c r="P57" s="9">
        <f>IF(Data!N58-4&gt;0,Data!N58-4,0)+P56</f>
        <v>0</v>
      </c>
      <c r="Q57" s="9"/>
      <c r="R57" s="9"/>
      <c r="S57" s="9"/>
      <c r="T57" s="9">
        <f>IF(Data!J58&gt;0,Data!J58,0)+T56</f>
        <v>0</v>
      </c>
      <c r="U57" s="9">
        <f>IF(Data!K58&gt;0,Data!K58,0)+U56</f>
        <v>0</v>
      </c>
      <c r="V57" s="9">
        <f>IF(Data!L58&gt;0,Data!L58,0)+V56</f>
        <v>0</v>
      </c>
      <c r="W57" s="9">
        <f>IF(Data!M58&gt;0,Data!M58,0)+W56</f>
        <v>0</v>
      </c>
      <c r="X57" s="9">
        <f>IF(Data!N58&gt;0,Data!N58,0)+X56</f>
        <v>0</v>
      </c>
      <c r="Y57" s="9"/>
      <c r="Z57" s="9"/>
      <c r="AA57" s="9"/>
    </row>
    <row r="58" spans="10:27" x14ac:dyDescent="0.25">
      <c r="J58" s="8">
        <v>46078</v>
      </c>
      <c r="K58" s="9">
        <v>143</v>
      </c>
      <c r="L58" s="9">
        <f>IF(Data!J59-4&gt;0,Data!J59-4,0)+L57</f>
        <v>0</v>
      </c>
      <c r="M58" s="9">
        <f>IF(Data!K59-4&gt;0,Data!K59-4,0)+M57</f>
        <v>0</v>
      </c>
      <c r="N58" s="9">
        <f>IF(Data!L59-4&gt;0,Data!L59-4,0)+N57</f>
        <v>0</v>
      </c>
      <c r="O58" s="9">
        <f>IF(Data!M59-4&gt;0,Data!M59-4,0)+O57</f>
        <v>0</v>
      </c>
      <c r="P58" s="9">
        <f>IF(Data!N59-4&gt;0,Data!N59-4,0)+P57</f>
        <v>0</v>
      </c>
      <c r="Q58" s="9"/>
      <c r="R58" s="9"/>
      <c r="S58" s="9"/>
      <c r="T58" s="9">
        <f>IF(Data!J59&gt;0,Data!J59,0)+T57</f>
        <v>0</v>
      </c>
      <c r="U58" s="9">
        <f>IF(Data!K59&gt;0,Data!K59,0)+U57</f>
        <v>0</v>
      </c>
      <c r="V58" s="9">
        <f>IF(Data!L59&gt;0,Data!L59,0)+V57</f>
        <v>0</v>
      </c>
      <c r="W58" s="9">
        <f>IF(Data!M59&gt;0,Data!M59,0)+W57</f>
        <v>0</v>
      </c>
      <c r="X58" s="9">
        <f>IF(Data!N59&gt;0,Data!N59,0)+X57</f>
        <v>0</v>
      </c>
      <c r="Y58" s="9"/>
      <c r="Z58" s="9"/>
      <c r="AA58" s="9"/>
    </row>
    <row r="59" spans="10:27" x14ac:dyDescent="0.25">
      <c r="J59" s="8">
        <v>46079</v>
      </c>
      <c r="K59" s="9">
        <v>143</v>
      </c>
      <c r="L59" s="9">
        <f>IF(Data!J60-4&gt;0,Data!J60-4,0)+L58</f>
        <v>0</v>
      </c>
      <c r="M59" s="9">
        <f>IF(Data!K60-4&gt;0,Data!K60-4,0)+M58</f>
        <v>0</v>
      </c>
      <c r="N59" s="9">
        <f>IF(Data!L60-4&gt;0,Data!L60-4,0)+N58</f>
        <v>0</v>
      </c>
      <c r="O59" s="9">
        <f>IF(Data!M60-4&gt;0,Data!M60-4,0)+O58</f>
        <v>0</v>
      </c>
      <c r="P59" s="9">
        <f>IF(Data!N60-4&gt;0,Data!N60-4,0)+P58</f>
        <v>0</v>
      </c>
      <c r="Q59" s="9"/>
      <c r="R59" s="9"/>
      <c r="S59" s="9"/>
      <c r="T59" s="9">
        <f>IF(Data!J60&gt;0,Data!J60,0)+T58</f>
        <v>0</v>
      </c>
      <c r="U59" s="9">
        <f>IF(Data!K60&gt;0,Data!K60,0)+U58</f>
        <v>0</v>
      </c>
      <c r="V59" s="9">
        <f>IF(Data!L60&gt;0,Data!L60,0)+V58</f>
        <v>0</v>
      </c>
      <c r="W59" s="9">
        <f>IF(Data!M60&gt;0,Data!M60,0)+W58</f>
        <v>0</v>
      </c>
      <c r="X59" s="9">
        <f>IF(Data!N60&gt;0,Data!N60,0)+X58</f>
        <v>0</v>
      </c>
      <c r="Y59" s="9"/>
      <c r="Z59" s="9"/>
      <c r="AA59" s="9"/>
    </row>
    <row r="60" spans="10:27" x14ac:dyDescent="0.25">
      <c r="J60" s="8">
        <v>46080</v>
      </c>
      <c r="K60" s="9">
        <v>143</v>
      </c>
      <c r="L60" s="9">
        <f>IF(Data!J61-4&gt;0,Data!J61-4,0)+L59</f>
        <v>0</v>
      </c>
      <c r="M60" s="9">
        <f>IF(Data!K61-4&gt;0,Data!K61-4,0)+M59</f>
        <v>0</v>
      </c>
      <c r="N60" s="9">
        <f>IF(Data!L61-4&gt;0,Data!L61-4,0)+N59</f>
        <v>0</v>
      </c>
      <c r="O60" s="9">
        <f>IF(Data!M61-4&gt;0,Data!M61-4,0)+O59</f>
        <v>0</v>
      </c>
      <c r="P60" s="9">
        <f>IF(Data!N61-4&gt;0,Data!N61-4,0)+P59</f>
        <v>0</v>
      </c>
      <c r="Q60" s="9"/>
      <c r="R60" s="9"/>
      <c r="S60" s="9"/>
      <c r="T60" s="9">
        <f>IF(Data!J61&gt;0,Data!J61,0)+T59</f>
        <v>0</v>
      </c>
      <c r="U60" s="9">
        <f>IF(Data!K61&gt;0,Data!K61,0)+U59</f>
        <v>0</v>
      </c>
      <c r="V60" s="9">
        <f>IF(Data!L61&gt;0,Data!L61,0)+V59</f>
        <v>0</v>
      </c>
      <c r="W60" s="9">
        <f>IF(Data!M61&gt;0,Data!M61,0)+W59</f>
        <v>0</v>
      </c>
      <c r="X60" s="9">
        <f>IF(Data!N61&gt;0,Data!N61,0)+X59</f>
        <v>0</v>
      </c>
      <c r="Y60" s="9"/>
      <c r="Z60" s="9"/>
      <c r="AA60" s="9"/>
    </row>
    <row r="61" spans="10:27" x14ac:dyDescent="0.25">
      <c r="J61" s="8">
        <v>46081</v>
      </c>
      <c r="K61" s="9">
        <v>143</v>
      </c>
      <c r="L61" s="9">
        <f>IF(Data!J62-4&gt;0,Data!J62-4,0)+L60</f>
        <v>0</v>
      </c>
      <c r="M61" s="9">
        <f>IF(Data!K62-4&gt;0,Data!K62-4,0)+M60</f>
        <v>0</v>
      </c>
      <c r="N61" s="9">
        <f>IF(Data!L62-4&gt;0,Data!L62-4,0)+N60</f>
        <v>0</v>
      </c>
      <c r="O61" s="9">
        <f>IF(Data!M62-4&gt;0,Data!M62-4,0)+O60</f>
        <v>0</v>
      </c>
      <c r="P61" s="9">
        <f>IF(Data!N62-4&gt;0,Data!N62-4,0)+P60</f>
        <v>0</v>
      </c>
      <c r="Q61" s="9"/>
      <c r="R61" s="9"/>
      <c r="S61" s="9"/>
      <c r="T61" s="9">
        <f>IF(Data!J62&gt;0,Data!J62,0)+T60</f>
        <v>0</v>
      </c>
      <c r="U61" s="9">
        <f>IF(Data!K62&gt;0,Data!K62,0)+U60</f>
        <v>0</v>
      </c>
      <c r="V61" s="9">
        <f>IF(Data!L62&gt;0,Data!L62,0)+V60</f>
        <v>0</v>
      </c>
      <c r="W61" s="9">
        <f>IF(Data!M62&gt;0,Data!M62,0)+W60</f>
        <v>0</v>
      </c>
      <c r="X61" s="9">
        <f>IF(Data!N62&gt;0,Data!N62,0)+X60</f>
        <v>0</v>
      </c>
      <c r="Y61" s="9"/>
      <c r="Z61" s="9"/>
      <c r="AA61" s="9"/>
    </row>
    <row r="62" spans="10:27" x14ac:dyDescent="0.25">
      <c r="J62" s="8">
        <v>46082</v>
      </c>
      <c r="K62" s="9">
        <v>143</v>
      </c>
      <c r="L62" s="9">
        <f>IF(Data!J63-4&gt;0,Data!J63-4,0)+L61</f>
        <v>0</v>
      </c>
      <c r="M62" s="9">
        <f>IF(Data!K63-4&gt;0,Data!K63-4,0)+M61</f>
        <v>0</v>
      </c>
      <c r="N62" s="9">
        <f>IF(Data!L63-4&gt;0,Data!L63-4,0)+N61</f>
        <v>0</v>
      </c>
      <c r="O62" s="9">
        <f>IF(Data!M63-4&gt;0,Data!M63-4,0)+O61</f>
        <v>0</v>
      </c>
      <c r="P62" s="9">
        <f>IF(Data!N63-4&gt;0,Data!N63-4,0)+P61</f>
        <v>0</v>
      </c>
      <c r="Q62" s="9"/>
      <c r="R62" s="9"/>
      <c r="S62" s="9"/>
      <c r="T62" s="9">
        <f>IF(Data!J63&gt;0,Data!J63,0)+T61</f>
        <v>0</v>
      </c>
      <c r="U62" s="9">
        <f>IF(Data!K63&gt;0,Data!K63,0)+U61</f>
        <v>0</v>
      </c>
      <c r="V62" s="9">
        <f>IF(Data!L63&gt;0,Data!L63,0)+V61</f>
        <v>0</v>
      </c>
      <c r="W62" s="9">
        <f>IF(Data!M63&gt;0,Data!M63,0)+W61</f>
        <v>0</v>
      </c>
      <c r="X62" s="9">
        <f>IF(Data!N63&gt;0,Data!N63,0)+X61</f>
        <v>0</v>
      </c>
      <c r="Y62" s="9"/>
      <c r="Z62" s="9"/>
      <c r="AA62" s="9"/>
    </row>
    <row r="63" spans="10:27" x14ac:dyDescent="0.25">
      <c r="J63" s="8">
        <v>46083</v>
      </c>
      <c r="K63" s="9">
        <v>143</v>
      </c>
      <c r="L63" s="9">
        <f>IF(Data!J64-4&gt;0,Data!J64-4,0)+L62</f>
        <v>0</v>
      </c>
      <c r="M63" s="9">
        <f>IF(Data!K64-4&gt;0,Data!K64-4,0)+M62</f>
        <v>0</v>
      </c>
      <c r="N63" s="9">
        <f>IF(Data!L64-4&gt;0,Data!L64-4,0)+N62</f>
        <v>0</v>
      </c>
      <c r="O63" s="9">
        <f>IF(Data!M64-4&gt;0,Data!M64-4,0)+O62</f>
        <v>0</v>
      </c>
      <c r="P63" s="9">
        <f>IF(Data!N64-4&gt;0,Data!N64-4,0)+P62</f>
        <v>0</v>
      </c>
      <c r="Q63" s="9"/>
      <c r="R63" s="9"/>
      <c r="S63" s="9"/>
      <c r="T63" s="9">
        <f>IF(Data!J64&gt;0,Data!J64,0)+T62</f>
        <v>0</v>
      </c>
      <c r="U63" s="9">
        <f>IF(Data!K64&gt;0,Data!K64,0)+U62</f>
        <v>0</v>
      </c>
      <c r="V63" s="9">
        <f>IF(Data!L64&gt;0,Data!L64,0)+V62</f>
        <v>0</v>
      </c>
      <c r="W63" s="9">
        <f>IF(Data!M64&gt;0,Data!M64,0)+W62</f>
        <v>0</v>
      </c>
      <c r="X63" s="9">
        <f>IF(Data!N64&gt;0,Data!N64,0)+X62</f>
        <v>0</v>
      </c>
      <c r="Y63" s="9"/>
      <c r="Z63" s="9"/>
      <c r="AA63" s="9"/>
    </row>
    <row r="64" spans="10:27" x14ac:dyDescent="0.25">
      <c r="J64" s="8">
        <v>46084</v>
      </c>
      <c r="K64" s="9">
        <v>143</v>
      </c>
      <c r="L64" s="9">
        <f>IF(Data!J65-4&gt;0,Data!J65-4,0)+L63</f>
        <v>0</v>
      </c>
      <c r="M64" s="9">
        <f>IF(Data!K65-4&gt;0,Data!K65-4,0)+M63</f>
        <v>0</v>
      </c>
      <c r="N64" s="9">
        <f>IF(Data!L65-4&gt;0,Data!L65-4,0)+N63</f>
        <v>0</v>
      </c>
      <c r="O64" s="9">
        <f>IF(Data!M65-4&gt;0,Data!M65-4,0)+O63</f>
        <v>0</v>
      </c>
      <c r="P64" s="9">
        <f>IF(Data!N65-4&gt;0,Data!N65-4,0)+P63</f>
        <v>0</v>
      </c>
      <c r="Q64" s="9"/>
      <c r="R64" s="9"/>
      <c r="S64" s="9"/>
      <c r="T64" s="9">
        <f>IF(Data!J65&gt;0,Data!J65,0)+T63</f>
        <v>0</v>
      </c>
      <c r="U64" s="9">
        <f>IF(Data!K65&gt;0,Data!K65,0)+U63</f>
        <v>0</v>
      </c>
      <c r="V64" s="9">
        <f>IF(Data!L65&gt;0,Data!L65,0)+V63</f>
        <v>0</v>
      </c>
      <c r="W64" s="9">
        <f>IF(Data!M65&gt;0,Data!M65,0)+W63</f>
        <v>0</v>
      </c>
      <c r="X64" s="9">
        <f>IF(Data!N65&gt;0,Data!N65,0)+X63</f>
        <v>0</v>
      </c>
      <c r="Y64" s="9"/>
      <c r="Z64" s="9"/>
      <c r="AA64" s="9"/>
    </row>
    <row r="65" spans="10:27" x14ac:dyDescent="0.25">
      <c r="J65" s="8">
        <v>46085</v>
      </c>
      <c r="K65" s="9">
        <v>143</v>
      </c>
      <c r="L65" s="9">
        <f>IF(Data!J66-4&gt;0,Data!J66-4,0)+L64</f>
        <v>0</v>
      </c>
      <c r="M65" s="9">
        <f>IF(Data!K66-4&gt;0,Data!K66-4,0)+M64</f>
        <v>0</v>
      </c>
      <c r="N65" s="9">
        <f>IF(Data!L66-4&gt;0,Data!L66-4,0)+N64</f>
        <v>0</v>
      </c>
      <c r="O65" s="9">
        <f>IF(Data!M66-4&gt;0,Data!M66-4,0)+O64</f>
        <v>0</v>
      </c>
      <c r="P65" s="9">
        <f>IF(Data!N66-4&gt;0,Data!N66-4,0)+P64</f>
        <v>0</v>
      </c>
      <c r="Q65" s="9"/>
      <c r="R65" s="9"/>
      <c r="S65" s="9"/>
      <c r="T65" s="9">
        <f>IF(Data!J66&gt;0,Data!J66,0)+T64</f>
        <v>0</v>
      </c>
      <c r="U65" s="9">
        <f>IF(Data!K66&gt;0,Data!K66,0)+U64</f>
        <v>0</v>
      </c>
      <c r="V65" s="9">
        <f>IF(Data!L66&gt;0,Data!L66,0)+V64</f>
        <v>0</v>
      </c>
      <c r="W65" s="9">
        <f>IF(Data!M66&gt;0,Data!M66,0)+W64</f>
        <v>0</v>
      </c>
      <c r="X65" s="9">
        <f>IF(Data!N66&gt;0,Data!N66,0)+X64</f>
        <v>0</v>
      </c>
      <c r="Y65" s="9"/>
      <c r="Z65" s="9"/>
      <c r="AA65" s="9"/>
    </row>
    <row r="66" spans="10:27" x14ac:dyDescent="0.25">
      <c r="J66" s="8">
        <v>46086</v>
      </c>
      <c r="K66" s="9">
        <v>143</v>
      </c>
      <c r="L66" s="9">
        <f>IF(Data!J67-4&gt;0,Data!J67-4,0)+L65</f>
        <v>0</v>
      </c>
      <c r="M66" s="9">
        <f>IF(Data!K67-4&gt;0,Data!K67-4,0)+M65</f>
        <v>0</v>
      </c>
      <c r="N66" s="9">
        <f>IF(Data!L67-4&gt;0,Data!L67-4,0)+N65</f>
        <v>0</v>
      </c>
      <c r="O66" s="9">
        <f>IF(Data!M67-4&gt;0,Data!M67-4,0)+O65</f>
        <v>0</v>
      </c>
      <c r="P66" s="9">
        <f>IF(Data!N67-4&gt;0,Data!N67-4,0)+P65</f>
        <v>0</v>
      </c>
      <c r="Q66" s="9"/>
      <c r="R66" s="9"/>
      <c r="S66" s="9"/>
      <c r="T66" s="9">
        <f>IF(Data!J67&gt;0,Data!J67,0)+T65</f>
        <v>0</v>
      </c>
      <c r="U66" s="9">
        <f>IF(Data!K67&gt;0,Data!K67,0)+U65</f>
        <v>0</v>
      </c>
      <c r="V66" s="9">
        <f>IF(Data!L67&gt;0,Data!L67,0)+V65</f>
        <v>0</v>
      </c>
      <c r="W66" s="9">
        <f>IF(Data!M67&gt;0,Data!M67,0)+W65</f>
        <v>0</v>
      </c>
      <c r="X66" s="9">
        <f>IF(Data!N67&gt;0,Data!N67,0)+X65</f>
        <v>0</v>
      </c>
      <c r="Y66" s="9"/>
      <c r="Z66" s="9"/>
      <c r="AA66" s="9"/>
    </row>
    <row r="67" spans="10:27" x14ac:dyDescent="0.25">
      <c r="J67" s="8">
        <v>46087</v>
      </c>
      <c r="K67" s="9">
        <v>143</v>
      </c>
      <c r="L67" s="9">
        <f>IF(Data!J68-4&gt;0,Data!J68-4,0)+L66</f>
        <v>0</v>
      </c>
      <c r="M67" s="9">
        <f>IF(Data!K68-4&gt;0,Data!K68-4,0)+M66</f>
        <v>0</v>
      </c>
      <c r="N67" s="9">
        <f>IF(Data!L68-4&gt;0,Data!L68-4,0)+N66</f>
        <v>0</v>
      </c>
      <c r="O67" s="9">
        <f>IF(Data!M68-4&gt;0,Data!M68-4,0)+O66</f>
        <v>0</v>
      </c>
      <c r="P67" s="9">
        <f>IF(Data!N68-4&gt;0,Data!N68-4,0)+P66</f>
        <v>0</v>
      </c>
      <c r="Q67" s="9"/>
      <c r="R67" s="9"/>
      <c r="S67" s="9"/>
      <c r="T67" s="9">
        <f>IF(Data!J68&gt;0,Data!J68,0)+T66</f>
        <v>0</v>
      </c>
      <c r="U67" s="9">
        <f>IF(Data!K68&gt;0,Data!K68,0)+U66</f>
        <v>0</v>
      </c>
      <c r="V67" s="9">
        <f>IF(Data!L68&gt;0,Data!L68,0)+V66</f>
        <v>0</v>
      </c>
      <c r="W67" s="9">
        <f>IF(Data!M68&gt;0,Data!M68,0)+W66</f>
        <v>0</v>
      </c>
      <c r="X67" s="9">
        <f>IF(Data!N68&gt;0,Data!N68,0)+X66</f>
        <v>0</v>
      </c>
      <c r="Y67" s="9"/>
      <c r="Z67" s="9"/>
      <c r="AA67" s="9"/>
    </row>
    <row r="68" spans="10:27" x14ac:dyDescent="0.25">
      <c r="J68" s="8">
        <v>46088</v>
      </c>
      <c r="K68" s="9">
        <v>143</v>
      </c>
      <c r="L68" s="9">
        <f>IF(Data!J69-4&gt;0,Data!J69-4,0)+L67</f>
        <v>0</v>
      </c>
      <c r="M68" s="9">
        <f>IF(Data!K69-4&gt;0,Data!K69-4,0)+M67</f>
        <v>0</v>
      </c>
      <c r="N68" s="9">
        <f>IF(Data!L69-4&gt;0,Data!L69-4,0)+N67</f>
        <v>0</v>
      </c>
      <c r="O68" s="9">
        <f>IF(Data!M69-4&gt;0,Data!M69-4,0)+O67</f>
        <v>0</v>
      </c>
      <c r="P68" s="9">
        <f>IF(Data!N69-4&gt;0,Data!N69-4,0)+P67</f>
        <v>0</v>
      </c>
      <c r="Q68" s="9"/>
      <c r="R68" s="9"/>
      <c r="S68" s="9"/>
      <c r="T68" s="9">
        <f>IF(Data!J69&gt;0,Data!J69,0)+T67</f>
        <v>0</v>
      </c>
      <c r="U68" s="9">
        <f>IF(Data!K69&gt;0,Data!K69,0)+U67</f>
        <v>0</v>
      </c>
      <c r="V68" s="9">
        <f>IF(Data!L69&gt;0,Data!L69,0)+V67</f>
        <v>0</v>
      </c>
      <c r="W68" s="9">
        <f>IF(Data!M69&gt;0,Data!M69,0)+W67</f>
        <v>0</v>
      </c>
      <c r="X68" s="9">
        <f>IF(Data!N69&gt;0,Data!N69,0)+X67</f>
        <v>0</v>
      </c>
      <c r="Y68" s="9"/>
      <c r="Z68" s="9"/>
      <c r="AA68" s="9"/>
    </row>
    <row r="69" spans="10:27" x14ac:dyDescent="0.25">
      <c r="J69" s="8">
        <v>46089</v>
      </c>
      <c r="K69" s="9">
        <v>143</v>
      </c>
      <c r="L69" s="9">
        <f>IF(Data!J70-4&gt;0,Data!J70-4,0)+L68</f>
        <v>0</v>
      </c>
      <c r="M69" s="9">
        <f>IF(Data!K70-4&gt;0,Data!K70-4,0)+M68</f>
        <v>0</v>
      </c>
      <c r="N69" s="9">
        <f>IF(Data!L70-4&gt;0,Data!L70-4,0)+N68</f>
        <v>0</v>
      </c>
      <c r="O69" s="9">
        <f>IF(Data!M70-4&gt;0,Data!M70-4,0)+O68</f>
        <v>0</v>
      </c>
      <c r="P69" s="9">
        <f>IF(Data!N70-4&gt;0,Data!N70-4,0)+P68</f>
        <v>0</v>
      </c>
      <c r="Q69" s="9"/>
      <c r="R69" s="9"/>
      <c r="S69" s="9"/>
      <c r="T69" s="9">
        <f>IF(Data!J70&gt;0,Data!J70,0)+T68</f>
        <v>0</v>
      </c>
      <c r="U69" s="9">
        <f>IF(Data!K70&gt;0,Data!K70,0)+U68</f>
        <v>0</v>
      </c>
      <c r="V69" s="9">
        <f>IF(Data!L70&gt;0,Data!L70,0)+V68</f>
        <v>0</v>
      </c>
      <c r="W69" s="9">
        <f>IF(Data!M70&gt;0,Data!M70,0)+W68</f>
        <v>0</v>
      </c>
      <c r="X69" s="9">
        <f>IF(Data!N70&gt;0,Data!N70,0)+X68</f>
        <v>0</v>
      </c>
      <c r="Y69" s="9"/>
      <c r="Z69" s="9"/>
      <c r="AA69" s="9"/>
    </row>
    <row r="70" spans="10:27" x14ac:dyDescent="0.25">
      <c r="J70" s="8">
        <v>46090</v>
      </c>
      <c r="K70" s="9">
        <v>143</v>
      </c>
      <c r="L70" s="9">
        <f>IF(Data!J71-4&gt;0,Data!J71-4,0)+L69</f>
        <v>0</v>
      </c>
      <c r="M70" s="9">
        <f>IF(Data!K71-4&gt;0,Data!K71-4,0)+M69</f>
        <v>0</v>
      </c>
      <c r="N70" s="9">
        <f>IF(Data!L71-4&gt;0,Data!L71-4,0)+N69</f>
        <v>0</v>
      </c>
      <c r="O70" s="9">
        <f>IF(Data!M71-4&gt;0,Data!M71-4,0)+O69</f>
        <v>0</v>
      </c>
      <c r="P70" s="9">
        <f>IF(Data!N71-4&gt;0,Data!N71-4,0)+P69</f>
        <v>0</v>
      </c>
      <c r="Q70" s="9"/>
      <c r="R70" s="9"/>
      <c r="S70" s="9"/>
      <c r="T70" s="9">
        <f>IF(Data!J71&gt;0,Data!J71,0)+T69</f>
        <v>0</v>
      </c>
      <c r="U70" s="9">
        <f>IF(Data!K71&gt;0,Data!K71,0)+U69</f>
        <v>0</v>
      </c>
      <c r="V70" s="9">
        <f>IF(Data!L71&gt;0,Data!L71,0)+V69</f>
        <v>0</v>
      </c>
      <c r="W70" s="9">
        <f>IF(Data!M71&gt;0,Data!M71,0)+W69</f>
        <v>0</v>
      </c>
      <c r="X70" s="9">
        <f>IF(Data!N71&gt;0,Data!N71,0)+X69</f>
        <v>0</v>
      </c>
      <c r="Y70" s="9"/>
      <c r="Z70" s="9"/>
      <c r="AA70" s="9"/>
    </row>
    <row r="71" spans="10:27" x14ac:dyDescent="0.25">
      <c r="J71" s="8">
        <v>46091</v>
      </c>
      <c r="K71" s="9">
        <v>143</v>
      </c>
      <c r="L71" s="9">
        <f>IF(Data!J72-4&gt;0,Data!J72-4,0)+L70</f>
        <v>0</v>
      </c>
      <c r="M71" s="9">
        <f>IF(Data!K72-4&gt;0,Data!K72-4,0)+M70</f>
        <v>0</v>
      </c>
      <c r="N71" s="9">
        <f>IF(Data!L72-4&gt;0,Data!L72-4,0)+N70</f>
        <v>0</v>
      </c>
      <c r="O71" s="9">
        <f>IF(Data!M72-4&gt;0,Data!M72-4,0)+O70</f>
        <v>0</v>
      </c>
      <c r="P71" s="9">
        <f>IF(Data!N72-4&gt;0,Data!N72-4,0)+P70</f>
        <v>0</v>
      </c>
      <c r="Q71" s="9"/>
      <c r="R71" s="9"/>
      <c r="S71" s="9"/>
      <c r="T71" s="9">
        <f>IF(Data!J72&gt;0,Data!J72,0)+T70</f>
        <v>0</v>
      </c>
      <c r="U71" s="9">
        <f>IF(Data!K72&gt;0,Data!K72,0)+U70</f>
        <v>0</v>
      </c>
      <c r="V71" s="9">
        <f>IF(Data!L72&gt;0,Data!L72,0)+V70</f>
        <v>0</v>
      </c>
      <c r="W71" s="9">
        <f>IF(Data!M72&gt;0,Data!M72,0)+W70</f>
        <v>0</v>
      </c>
      <c r="X71" s="9">
        <f>IF(Data!N72&gt;0,Data!N72,0)+X70</f>
        <v>0</v>
      </c>
      <c r="Y71" s="9"/>
      <c r="Z71" s="9"/>
      <c r="AA71" s="9"/>
    </row>
    <row r="72" spans="10:27" x14ac:dyDescent="0.25">
      <c r="J72" s="8">
        <v>46092</v>
      </c>
      <c r="K72" s="9">
        <v>143</v>
      </c>
      <c r="L72" s="9">
        <f>IF(Data!J73-4&gt;0,Data!J73-4,0)+L71</f>
        <v>0</v>
      </c>
      <c r="M72" s="9">
        <f>IF(Data!K73-4&gt;0,Data!K73-4,0)+M71</f>
        <v>0</v>
      </c>
      <c r="N72" s="9">
        <f>IF(Data!L73-4&gt;0,Data!L73-4,0)+N71</f>
        <v>0</v>
      </c>
      <c r="O72" s="9">
        <f>IF(Data!M73-4&gt;0,Data!M73-4,0)+O71</f>
        <v>0</v>
      </c>
      <c r="P72" s="9">
        <f>IF(Data!N73-4&gt;0,Data!N73-4,0)+P71</f>
        <v>0</v>
      </c>
      <c r="Q72" s="9"/>
      <c r="R72" s="9"/>
      <c r="S72" s="9"/>
      <c r="T72" s="9">
        <f>IF(Data!J73&gt;0,Data!J73,0)+T71</f>
        <v>0</v>
      </c>
      <c r="U72" s="9">
        <f>IF(Data!K73&gt;0,Data!K73,0)+U71</f>
        <v>0</v>
      </c>
      <c r="V72" s="9">
        <f>IF(Data!L73&gt;0,Data!L73,0)+V71</f>
        <v>0</v>
      </c>
      <c r="W72" s="9">
        <f>IF(Data!M73&gt;0,Data!M73,0)+W71</f>
        <v>0</v>
      </c>
      <c r="X72" s="9">
        <f>IF(Data!N73&gt;0,Data!N73,0)+X71</f>
        <v>0</v>
      </c>
      <c r="Y72" s="9"/>
      <c r="Z72" s="9"/>
      <c r="AA72" s="9"/>
    </row>
    <row r="73" spans="10:27" x14ac:dyDescent="0.25">
      <c r="J73" s="8">
        <v>46093</v>
      </c>
      <c r="K73" s="9">
        <v>143</v>
      </c>
      <c r="L73" s="9">
        <f>IF(Data!J74-4&gt;0,Data!J74-4,0)+L72</f>
        <v>0</v>
      </c>
      <c r="M73" s="9">
        <f>IF(Data!K74-4&gt;0,Data!K74-4,0)+M72</f>
        <v>0</v>
      </c>
      <c r="N73" s="9">
        <f>IF(Data!L74-4&gt;0,Data!L74-4,0)+N72</f>
        <v>0</v>
      </c>
      <c r="O73" s="9">
        <f>IF(Data!M74-4&gt;0,Data!M74-4,0)+O72</f>
        <v>0</v>
      </c>
      <c r="P73" s="9">
        <f>IF(Data!N74-4&gt;0,Data!N74-4,0)+P72</f>
        <v>0</v>
      </c>
      <c r="Q73" s="9"/>
      <c r="R73" s="9"/>
      <c r="S73" s="9"/>
      <c r="T73" s="9">
        <f>IF(Data!J74&gt;0,Data!J74,0)+T72</f>
        <v>0</v>
      </c>
      <c r="U73" s="9">
        <f>IF(Data!K74&gt;0,Data!K74,0)+U72</f>
        <v>0</v>
      </c>
      <c r="V73" s="9">
        <f>IF(Data!L74&gt;0,Data!L74,0)+V72</f>
        <v>0</v>
      </c>
      <c r="W73" s="9">
        <f>IF(Data!M74&gt;0,Data!M74,0)+W72</f>
        <v>0</v>
      </c>
      <c r="X73" s="9">
        <f>IF(Data!N74&gt;0,Data!N74,0)+X72</f>
        <v>0</v>
      </c>
      <c r="Y73" s="9"/>
      <c r="Z73" s="9"/>
      <c r="AA73" s="9"/>
    </row>
    <row r="74" spans="10:27" x14ac:dyDescent="0.25">
      <c r="J74" s="8">
        <v>46094</v>
      </c>
      <c r="K74" s="9">
        <v>143</v>
      </c>
      <c r="L74" s="9">
        <f>IF(Data!J75-4&gt;0,Data!J75-4,0)+L73</f>
        <v>0</v>
      </c>
      <c r="M74" s="9">
        <f>IF(Data!K75-4&gt;0,Data!K75-4,0)+M73</f>
        <v>0</v>
      </c>
      <c r="N74" s="9">
        <f>IF(Data!L75-4&gt;0,Data!L75-4,0)+N73</f>
        <v>0</v>
      </c>
      <c r="O74" s="9">
        <f>IF(Data!M75-4&gt;0,Data!M75-4,0)+O73</f>
        <v>0</v>
      </c>
      <c r="P74" s="9">
        <f>IF(Data!N75-4&gt;0,Data!N75-4,0)+P73</f>
        <v>0</v>
      </c>
      <c r="Q74" s="9"/>
      <c r="R74" s="9"/>
      <c r="S74" s="9"/>
      <c r="T74" s="9">
        <f>IF(Data!J75&gt;0,Data!J75,0)+T73</f>
        <v>0</v>
      </c>
      <c r="U74" s="9">
        <f>IF(Data!K75&gt;0,Data!K75,0)+U73</f>
        <v>0</v>
      </c>
      <c r="V74" s="9">
        <f>IF(Data!L75&gt;0,Data!L75,0)+V73</f>
        <v>0</v>
      </c>
      <c r="W74" s="9">
        <f>IF(Data!M75&gt;0,Data!M75,0)+W73</f>
        <v>0</v>
      </c>
      <c r="X74" s="9">
        <f>IF(Data!N75&gt;0,Data!N75,0)+X73</f>
        <v>0</v>
      </c>
      <c r="Y74" s="9"/>
      <c r="Z74" s="9"/>
      <c r="AA74" s="9"/>
    </row>
    <row r="75" spans="10:27" x14ac:dyDescent="0.25">
      <c r="J75" s="8">
        <v>46095</v>
      </c>
      <c r="K75" s="9">
        <v>143</v>
      </c>
      <c r="L75" s="9">
        <f>IF(Data!J76-4&gt;0,Data!J76-4,0)+L74</f>
        <v>0</v>
      </c>
      <c r="M75" s="9">
        <f>IF(Data!K76-4&gt;0,Data!K76-4,0)+M74</f>
        <v>0</v>
      </c>
      <c r="N75" s="9">
        <f>IF(Data!L76-4&gt;0,Data!L76-4,0)+N74</f>
        <v>0</v>
      </c>
      <c r="O75" s="9">
        <f>IF(Data!M76-4&gt;0,Data!M76-4,0)+O74</f>
        <v>0</v>
      </c>
      <c r="P75" s="9">
        <f>IF(Data!N76-4&gt;0,Data!N76-4,0)+P74</f>
        <v>0</v>
      </c>
      <c r="Q75" s="9"/>
      <c r="R75" s="9"/>
      <c r="S75" s="9"/>
      <c r="T75" s="9">
        <f>IF(Data!J76&gt;0,Data!J76,0)+T74</f>
        <v>0</v>
      </c>
      <c r="U75" s="9">
        <f>IF(Data!K76&gt;0,Data!K76,0)+U74</f>
        <v>0</v>
      </c>
      <c r="V75" s="9">
        <f>IF(Data!L76&gt;0,Data!L76,0)+V74</f>
        <v>0</v>
      </c>
      <c r="W75" s="9">
        <f>IF(Data!M76&gt;0,Data!M76,0)+W74</f>
        <v>0</v>
      </c>
      <c r="X75" s="9">
        <f>IF(Data!N76&gt;0,Data!N76,0)+X74</f>
        <v>0</v>
      </c>
      <c r="Y75" s="9"/>
      <c r="Z75" s="9"/>
      <c r="AA75" s="9"/>
    </row>
    <row r="76" spans="10:27" x14ac:dyDescent="0.25">
      <c r="J76" s="8">
        <v>46096</v>
      </c>
      <c r="K76" s="9">
        <v>143</v>
      </c>
      <c r="L76" s="9">
        <f>IF(Data!J77-4&gt;0,Data!J77-4,0)+L75</f>
        <v>0</v>
      </c>
      <c r="M76" s="9">
        <f>IF(Data!K77-4&gt;0,Data!K77-4,0)+M75</f>
        <v>0</v>
      </c>
      <c r="N76" s="9">
        <f>IF(Data!L77-4&gt;0,Data!L77-4,0)+N75</f>
        <v>0</v>
      </c>
      <c r="O76" s="9">
        <f>IF(Data!M77-4&gt;0,Data!M77-4,0)+O75</f>
        <v>0</v>
      </c>
      <c r="P76" s="9">
        <f>IF(Data!N77-4&gt;0,Data!N77-4,0)+P75</f>
        <v>0</v>
      </c>
      <c r="Q76" s="9"/>
      <c r="R76" s="9"/>
      <c r="S76" s="9"/>
      <c r="T76" s="9">
        <f>IF(Data!J77&gt;0,Data!J77,0)+T75</f>
        <v>0</v>
      </c>
      <c r="U76" s="9">
        <f>IF(Data!K77&gt;0,Data!K77,0)+U75</f>
        <v>0</v>
      </c>
      <c r="V76" s="9">
        <f>IF(Data!L77&gt;0,Data!L77,0)+V75</f>
        <v>0</v>
      </c>
      <c r="W76" s="9">
        <f>IF(Data!M77&gt;0,Data!M77,0)+W75</f>
        <v>0</v>
      </c>
      <c r="X76" s="9">
        <f>IF(Data!N77&gt;0,Data!N77,0)+X75</f>
        <v>0</v>
      </c>
      <c r="Y76" s="9"/>
      <c r="Z76" s="9"/>
      <c r="AA76" s="9"/>
    </row>
    <row r="77" spans="10:27" x14ac:dyDescent="0.25">
      <c r="J77" s="8">
        <v>46097</v>
      </c>
      <c r="K77" s="9">
        <v>143</v>
      </c>
      <c r="L77" s="9">
        <f>IF(Data!J78-4&gt;0,Data!J78-4,0)+L76</f>
        <v>0</v>
      </c>
      <c r="M77" s="9">
        <f>IF(Data!K78-4&gt;0,Data!K78-4,0)+M76</f>
        <v>0</v>
      </c>
      <c r="N77" s="9">
        <f>IF(Data!L78-4&gt;0,Data!L78-4,0)+N76</f>
        <v>0</v>
      </c>
      <c r="O77" s="9">
        <f>IF(Data!M78-4&gt;0,Data!M78-4,0)+O76</f>
        <v>0</v>
      </c>
      <c r="P77" s="9">
        <f>IF(Data!N78-4&gt;0,Data!N78-4,0)+P76</f>
        <v>0</v>
      </c>
      <c r="Q77" s="9"/>
      <c r="R77" s="9"/>
      <c r="S77" s="9"/>
      <c r="T77" s="9">
        <f>IF(Data!J78&gt;0,Data!J78,0)+T76</f>
        <v>0</v>
      </c>
      <c r="U77" s="9">
        <f>IF(Data!K78&gt;0,Data!K78,0)+U76</f>
        <v>0</v>
      </c>
      <c r="V77" s="9">
        <f>IF(Data!L78&gt;0,Data!L78,0)+V76</f>
        <v>0</v>
      </c>
      <c r="W77" s="9">
        <f>IF(Data!M78&gt;0,Data!M78,0)+W76</f>
        <v>0</v>
      </c>
      <c r="X77" s="9">
        <f>IF(Data!N78&gt;0,Data!N78,0)+X76</f>
        <v>0</v>
      </c>
      <c r="Y77" s="9"/>
      <c r="Z77" s="9"/>
      <c r="AA77" s="9"/>
    </row>
    <row r="78" spans="10:27" x14ac:dyDescent="0.25">
      <c r="J78" s="8">
        <v>46098</v>
      </c>
      <c r="K78" s="9">
        <v>143</v>
      </c>
      <c r="L78" s="9">
        <f>IF(Data!J79-4&gt;0,Data!J79-4,0)+L77</f>
        <v>0</v>
      </c>
      <c r="M78" s="9">
        <f>IF(Data!K79-4&gt;0,Data!K79-4,0)+M77</f>
        <v>0</v>
      </c>
      <c r="N78" s="9">
        <f>IF(Data!L79-4&gt;0,Data!L79-4,0)+N77</f>
        <v>0</v>
      </c>
      <c r="O78" s="9">
        <f>IF(Data!M79-4&gt;0,Data!M79-4,0)+O77</f>
        <v>0</v>
      </c>
      <c r="P78" s="9">
        <f>IF(Data!N79-4&gt;0,Data!N79-4,0)+P77</f>
        <v>0</v>
      </c>
      <c r="Q78" s="9"/>
      <c r="R78" s="9"/>
      <c r="S78" s="9"/>
      <c r="T78" s="9">
        <f>IF(Data!J79&gt;0,Data!J79,0)+T77</f>
        <v>0</v>
      </c>
      <c r="U78" s="9">
        <f>IF(Data!K79&gt;0,Data!K79,0)+U77</f>
        <v>0</v>
      </c>
      <c r="V78" s="9">
        <f>IF(Data!L79&gt;0,Data!L79,0)+V77</f>
        <v>0</v>
      </c>
      <c r="W78" s="9">
        <f>IF(Data!M79&gt;0,Data!M79,0)+W77</f>
        <v>0</v>
      </c>
      <c r="X78" s="9">
        <f>IF(Data!N79&gt;0,Data!N79,0)+X77</f>
        <v>0</v>
      </c>
      <c r="Y78" s="9"/>
      <c r="Z78" s="9"/>
      <c r="AA78" s="9"/>
    </row>
    <row r="79" spans="10:27" x14ac:dyDescent="0.25">
      <c r="J79" s="8">
        <v>46099</v>
      </c>
      <c r="K79" s="9">
        <v>143</v>
      </c>
      <c r="L79" s="9">
        <f>IF(Data!J80-4&gt;0,Data!J80-4,0)+L78</f>
        <v>0</v>
      </c>
      <c r="M79" s="9">
        <f>IF(Data!K80-4&gt;0,Data!K80-4,0)+M78</f>
        <v>0</v>
      </c>
      <c r="N79" s="9">
        <f>IF(Data!L80-4&gt;0,Data!L80-4,0)+N78</f>
        <v>0</v>
      </c>
      <c r="O79" s="9">
        <f>IF(Data!M80-4&gt;0,Data!M80-4,0)+O78</f>
        <v>0</v>
      </c>
      <c r="P79" s="9">
        <f>IF(Data!N80-4&gt;0,Data!N80-4,0)+P78</f>
        <v>0</v>
      </c>
      <c r="Q79" s="9"/>
      <c r="R79" s="9"/>
      <c r="S79" s="9"/>
      <c r="T79" s="9">
        <f>IF(Data!J80&gt;0,Data!J80,0)+T78</f>
        <v>0</v>
      </c>
      <c r="U79" s="9">
        <f>IF(Data!K80&gt;0,Data!K80,0)+U78</f>
        <v>0</v>
      </c>
      <c r="V79" s="9">
        <f>IF(Data!L80&gt;0,Data!L80,0)+V78</f>
        <v>0</v>
      </c>
      <c r="W79" s="9">
        <f>IF(Data!M80&gt;0,Data!M80,0)+W78</f>
        <v>0</v>
      </c>
      <c r="X79" s="9">
        <f>IF(Data!N80&gt;0,Data!N80,0)+X78</f>
        <v>0</v>
      </c>
      <c r="Y79" s="9"/>
      <c r="Z79" s="9"/>
      <c r="AA79" s="9"/>
    </row>
    <row r="80" spans="10:27" x14ac:dyDescent="0.25">
      <c r="J80" s="8">
        <v>46100</v>
      </c>
      <c r="K80" s="9">
        <v>143</v>
      </c>
      <c r="L80" s="9">
        <f>IF(Data!J81-4&gt;0,Data!J81-4,0)+L79</f>
        <v>0</v>
      </c>
      <c r="M80" s="9">
        <f>IF(Data!K81-4&gt;0,Data!K81-4,0)+M79</f>
        <v>0</v>
      </c>
      <c r="N80" s="9">
        <f>IF(Data!L81-4&gt;0,Data!L81-4,0)+N79</f>
        <v>0</v>
      </c>
      <c r="O80" s="9">
        <f>IF(Data!M81-4&gt;0,Data!M81-4,0)+O79</f>
        <v>0</v>
      </c>
      <c r="P80" s="9">
        <f>IF(Data!N81-4&gt;0,Data!N81-4,0)+P79</f>
        <v>0</v>
      </c>
      <c r="Q80" s="9"/>
      <c r="R80" s="9"/>
      <c r="S80" s="9"/>
      <c r="T80" s="9">
        <f>IF(Data!J81&gt;0,Data!J81,0)+T79</f>
        <v>0</v>
      </c>
      <c r="U80" s="9">
        <f>IF(Data!K81&gt;0,Data!K81,0)+U79</f>
        <v>0</v>
      </c>
      <c r="V80" s="9">
        <f>IF(Data!L81&gt;0,Data!L81,0)+V79</f>
        <v>0</v>
      </c>
      <c r="W80" s="9">
        <f>IF(Data!M81&gt;0,Data!M81,0)+W79</f>
        <v>0</v>
      </c>
      <c r="X80" s="9">
        <f>IF(Data!N81&gt;0,Data!N81,0)+X79</f>
        <v>0</v>
      </c>
      <c r="Y80" s="9"/>
      <c r="Z80" s="9"/>
      <c r="AA80" s="9"/>
    </row>
    <row r="81" spans="10:27" x14ac:dyDescent="0.25">
      <c r="J81" s="8">
        <v>46101</v>
      </c>
      <c r="K81" s="9">
        <v>143</v>
      </c>
      <c r="L81" s="9">
        <f>IF(Data!J82-4&gt;0,Data!J82-4,0)+L80</f>
        <v>0</v>
      </c>
      <c r="M81" s="9">
        <f>IF(Data!K82-4&gt;0,Data!K82-4,0)+M80</f>
        <v>0</v>
      </c>
      <c r="N81" s="9">
        <f>IF(Data!L82-4&gt;0,Data!L82-4,0)+N80</f>
        <v>0</v>
      </c>
      <c r="O81" s="9">
        <f>IF(Data!M82-4&gt;0,Data!M82-4,0)+O80</f>
        <v>0</v>
      </c>
      <c r="P81" s="9">
        <f>IF(Data!N82-4&gt;0,Data!N82-4,0)+P80</f>
        <v>0</v>
      </c>
      <c r="Q81" s="9"/>
      <c r="R81" s="9"/>
      <c r="S81" s="9"/>
      <c r="T81" s="9">
        <f>IF(Data!J82&gt;0,Data!J82,0)+T80</f>
        <v>0</v>
      </c>
      <c r="U81" s="9">
        <f>IF(Data!K82&gt;0,Data!K82,0)+U80</f>
        <v>0</v>
      </c>
      <c r="V81" s="9">
        <f>IF(Data!L82&gt;0,Data!L82,0)+V80</f>
        <v>0</v>
      </c>
      <c r="W81" s="9">
        <f>IF(Data!M82&gt;0,Data!M82,0)+W80</f>
        <v>0</v>
      </c>
      <c r="X81" s="9">
        <f>IF(Data!N82&gt;0,Data!N82,0)+X80</f>
        <v>0</v>
      </c>
      <c r="Y81" s="9"/>
      <c r="Z81" s="9"/>
      <c r="AA81" s="9"/>
    </row>
    <row r="82" spans="10:27" x14ac:dyDescent="0.25">
      <c r="J82" s="8">
        <v>46102</v>
      </c>
      <c r="K82" s="9">
        <v>143</v>
      </c>
      <c r="L82" s="9">
        <f>IF(Data!J83-4&gt;0,Data!J83-4,0)+L81</f>
        <v>0</v>
      </c>
      <c r="M82" s="9">
        <f>IF(Data!K83-4&gt;0,Data!K83-4,0)+M81</f>
        <v>0</v>
      </c>
      <c r="N82" s="9">
        <f>IF(Data!L83-4&gt;0,Data!L83-4,0)+N81</f>
        <v>0</v>
      </c>
      <c r="O82" s="9">
        <f>IF(Data!M83-4&gt;0,Data!M83-4,0)+O81</f>
        <v>0</v>
      </c>
      <c r="P82" s="9">
        <f>IF(Data!N83-4&gt;0,Data!N83-4,0)+P81</f>
        <v>0</v>
      </c>
      <c r="Q82" s="9"/>
      <c r="R82" s="9"/>
      <c r="S82" s="9"/>
      <c r="T82" s="9">
        <f>IF(Data!J83&gt;0,Data!J83,0)+T81</f>
        <v>0</v>
      </c>
      <c r="U82" s="9">
        <f>IF(Data!K83&gt;0,Data!K83,0)+U81</f>
        <v>0</v>
      </c>
      <c r="V82" s="9">
        <f>IF(Data!L83&gt;0,Data!L83,0)+V81</f>
        <v>0</v>
      </c>
      <c r="W82" s="9">
        <f>IF(Data!M83&gt;0,Data!M83,0)+W81</f>
        <v>0</v>
      </c>
      <c r="X82" s="9">
        <f>IF(Data!N83&gt;0,Data!N83,0)+X81</f>
        <v>0</v>
      </c>
      <c r="Y82" s="9"/>
      <c r="Z82" s="9"/>
      <c r="AA82" s="9"/>
    </row>
    <row r="83" spans="10:27" x14ac:dyDescent="0.25">
      <c r="J83" s="8">
        <v>46103</v>
      </c>
      <c r="K83" s="9">
        <v>143</v>
      </c>
      <c r="L83" s="9">
        <f>IF(Data!J84-4&gt;0,Data!J84-4,0)+L82</f>
        <v>0</v>
      </c>
      <c r="M83" s="9">
        <f>IF(Data!K84-4&gt;0,Data!K84-4,0)+M82</f>
        <v>0</v>
      </c>
      <c r="N83" s="9">
        <f>IF(Data!L84-4&gt;0,Data!L84-4,0)+N82</f>
        <v>0</v>
      </c>
      <c r="O83" s="9">
        <f>IF(Data!M84-4&gt;0,Data!M84-4,0)+O82</f>
        <v>0</v>
      </c>
      <c r="P83" s="9">
        <f>IF(Data!N84-4&gt;0,Data!N84-4,0)+P82</f>
        <v>0</v>
      </c>
      <c r="Q83" s="9"/>
      <c r="R83" s="9"/>
      <c r="S83" s="9"/>
      <c r="T83" s="9">
        <f>IF(Data!J84&gt;0,Data!J84,0)+T82</f>
        <v>0</v>
      </c>
      <c r="U83" s="9">
        <f>IF(Data!K84&gt;0,Data!K84,0)+U82</f>
        <v>0</v>
      </c>
      <c r="V83" s="9">
        <f>IF(Data!L84&gt;0,Data!L84,0)+V82</f>
        <v>0</v>
      </c>
      <c r="W83" s="9">
        <f>IF(Data!M84&gt;0,Data!M84,0)+W82</f>
        <v>0</v>
      </c>
      <c r="X83" s="9">
        <f>IF(Data!N84&gt;0,Data!N84,0)+X82</f>
        <v>0</v>
      </c>
      <c r="Y83" s="9"/>
      <c r="Z83" s="9"/>
      <c r="AA83" s="9"/>
    </row>
    <row r="84" spans="10:27" x14ac:dyDescent="0.25">
      <c r="J84" s="8">
        <v>46104</v>
      </c>
      <c r="K84" s="9">
        <v>143</v>
      </c>
      <c r="L84" s="9">
        <f>IF(Data!J85-4&gt;0,Data!J85-4,0)+L83</f>
        <v>0</v>
      </c>
      <c r="M84" s="9">
        <f>IF(Data!K85-4&gt;0,Data!K85-4,0)+M83</f>
        <v>0</v>
      </c>
      <c r="N84" s="9">
        <f>IF(Data!L85-4&gt;0,Data!L85-4,0)+N83</f>
        <v>0</v>
      </c>
      <c r="O84" s="9">
        <f>IF(Data!M85-4&gt;0,Data!M85-4,0)+O83</f>
        <v>0</v>
      </c>
      <c r="P84" s="9">
        <f>IF(Data!N85-4&gt;0,Data!N85-4,0)+P83</f>
        <v>0</v>
      </c>
      <c r="Q84" s="9"/>
      <c r="R84" s="9"/>
      <c r="S84" s="9"/>
      <c r="T84" s="9">
        <f>IF(Data!J85&gt;0,Data!J85,0)+T83</f>
        <v>0</v>
      </c>
      <c r="U84" s="9">
        <f>IF(Data!K85&gt;0,Data!K85,0)+U83</f>
        <v>0</v>
      </c>
      <c r="V84" s="9">
        <f>IF(Data!L85&gt;0,Data!L85,0)+V83</f>
        <v>0</v>
      </c>
      <c r="W84" s="9">
        <f>IF(Data!M85&gt;0,Data!M85,0)+W83</f>
        <v>0</v>
      </c>
      <c r="X84" s="9">
        <f>IF(Data!N85&gt;0,Data!N85,0)+X83</f>
        <v>0</v>
      </c>
      <c r="Y84" s="9"/>
      <c r="Z84" s="9"/>
      <c r="AA84" s="9"/>
    </row>
    <row r="85" spans="10:27" x14ac:dyDescent="0.25">
      <c r="J85" s="8">
        <v>46105</v>
      </c>
      <c r="K85" s="9">
        <v>143</v>
      </c>
      <c r="L85" s="9">
        <f>IF(Data!J86-4&gt;0,Data!J86-4,0)+L84</f>
        <v>0</v>
      </c>
      <c r="M85" s="9">
        <f>IF(Data!K86-4&gt;0,Data!K86-4,0)+M84</f>
        <v>0</v>
      </c>
      <c r="N85" s="9">
        <f>IF(Data!L86-4&gt;0,Data!L86-4,0)+N84</f>
        <v>0</v>
      </c>
      <c r="O85" s="9">
        <f>IF(Data!M86-4&gt;0,Data!M86-4,0)+O84</f>
        <v>0</v>
      </c>
      <c r="P85" s="9">
        <f>IF(Data!N86-4&gt;0,Data!N86-4,0)+P84</f>
        <v>0</v>
      </c>
      <c r="Q85" s="9"/>
      <c r="R85" s="9"/>
      <c r="S85" s="9"/>
      <c r="T85" s="9">
        <f>IF(Data!J86&gt;0,Data!J86,0)+T84</f>
        <v>0</v>
      </c>
      <c r="U85" s="9">
        <f>IF(Data!K86&gt;0,Data!K86,0)+U84</f>
        <v>0</v>
      </c>
      <c r="V85" s="9">
        <f>IF(Data!L86&gt;0,Data!L86,0)+V84</f>
        <v>0</v>
      </c>
      <c r="W85" s="9">
        <f>IF(Data!M86&gt;0,Data!M86,0)+W84</f>
        <v>0</v>
      </c>
      <c r="X85" s="9">
        <f>IF(Data!N86&gt;0,Data!N86,0)+X84</f>
        <v>0</v>
      </c>
      <c r="Y85" s="9"/>
      <c r="Z85" s="9"/>
      <c r="AA85" s="9"/>
    </row>
    <row r="86" spans="10:27" x14ac:dyDescent="0.25">
      <c r="J86" s="8">
        <v>46106</v>
      </c>
      <c r="K86" s="9">
        <v>143</v>
      </c>
      <c r="L86" s="9">
        <f>IF(Data!J87-4&gt;0,Data!J87-4,0)+L85</f>
        <v>0</v>
      </c>
      <c r="M86" s="9">
        <f>IF(Data!K87-4&gt;0,Data!K87-4,0)+M85</f>
        <v>0</v>
      </c>
      <c r="N86" s="9">
        <f>IF(Data!L87-4&gt;0,Data!L87-4,0)+N85</f>
        <v>0</v>
      </c>
      <c r="O86" s="9">
        <f>IF(Data!M87-4&gt;0,Data!M87-4,0)+O85</f>
        <v>0</v>
      </c>
      <c r="P86" s="9">
        <f>IF(Data!N87-4&gt;0,Data!N87-4,0)+P85</f>
        <v>0</v>
      </c>
      <c r="Q86" s="9"/>
      <c r="R86" s="9"/>
      <c r="S86" s="9"/>
      <c r="T86" s="9">
        <f>IF(Data!J87&gt;0,Data!J87,0)+T85</f>
        <v>0</v>
      </c>
      <c r="U86" s="9">
        <f>IF(Data!K87&gt;0,Data!K87,0)+U85</f>
        <v>0</v>
      </c>
      <c r="V86" s="9">
        <f>IF(Data!L87&gt;0,Data!L87,0)+V85</f>
        <v>0</v>
      </c>
      <c r="W86" s="9">
        <f>IF(Data!M87&gt;0,Data!M87,0)+W85</f>
        <v>0</v>
      </c>
      <c r="X86" s="9">
        <f>IF(Data!N87&gt;0,Data!N87,0)+X85</f>
        <v>0</v>
      </c>
      <c r="Y86" s="9"/>
      <c r="Z86" s="9"/>
      <c r="AA86" s="9"/>
    </row>
    <row r="87" spans="10:27" x14ac:dyDescent="0.25">
      <c r="J87" s="8">
        <v>46107</v>
      </c>
      <c r="K87" s="9">
        <v>143</v>
      </c>
      <c r="L87" s="9">
        <f>IF(Data!J88-4&gt;0,Data!J88-4,0)+L86</f>
        <v>0</v>
      </c>
      <c r="M87" s="9">
        <f>IF(Data!K88-4&gt;0,Data!K88-4,0)+M86</f>
        <v>0</v>
      </c>
      <c r="N87" s="9">
        <f>IF(Data!L88-4&gt;0,Data!L88-4,0)+N86</f>
        <v>0</v>
      </c>
      <c r="O87" s="9">
        <f>IF(Data!M88-4&gt;0,Data!M88-4,0)+O86</f>
        <v>0</v>
      </c>
      <c r="P87" s="9">
        <f>IF(Data!N88-4&gt;0,Data!N88-4,0)+P86</f>
        <v>0</v>
      </c>
      <c r="Q87" s="9"/>
      <c r="R87" s="9"/>
      <c r="S87" s="9"/>
      <c r="T87" s="9">
        <f>IF(Data!J88&gt;0,Data!J88,0)+T86</f>
        <v>0</v>
      </c>
      <c r="U87" s="9">
        <f>IF(Data!K88&gt;0,Data!K88,0)+U86</f>
        <v>0</v>
      </c>
      <c r="V87" s="9">
        <f>IF(Data!L88&gt;0,Data!L88,0)+V86</f>
        <v>0</v>
      </c>
      <c r="W87" s="9">
        <f>IF(Data!M88&gt;0,Data!M88,0)+W86</f>
        <v>0</v>
      </c>
      <c r="X87" s="9">
        <f>IF(Data!N88&gt;0,Data!N88,0)+X86</f>
        <v>0</v>
      </c>
      <c r="Y87" s="9"/>
      <c r="Z87" s="9"/>
      <c r="AA87" s="9"/>
    </row>
    <row r="88" spans="10:27" x14ac:dyDescent="0.25">
      <c r="J88" s="8">
        <v>46108</v>
      </c>
      <c r="K88" s="9">
        <v>143</v>
      </c>
      <c r="L88" s="9">
        <f>IF(Data!J89-4&gt;0,Data!J89-4,0)+L87</f>
        <v>0</v>
      </c>
      <c r="M88" s="9">
        <f>IF(Data!K89-4&gt;0,Data!K89-4,0)+M87</f>
        <v>0</v>
      </c>
      <c r="N88" s="9">
        <f>IF(Data!L89-4&gt;0,Data!L89-4,0)+N87</f>
        <v>0</v>
      </c>
      <c r="O88" s="9">
        <f>IF(Data!M89-4&gt;0,Data!M89-4,0)+O87</f>
        <v>0</v>
      </c>
      <c r="P88" s="9">
        <f>IF(Data!N89-4&gt;0,Data!N89-4,0)+P87</f>
        <v>0</v>
      </c>
      <c r="Q88" s="9"/>
      <c r="R88" s="9"/>
      <c r="S88" s="9"/>
      <c r="T88" s="9">
        <f>IF(Data!J89&gt;0,Data!J89,0)+T87</f>
        <v>0</v>
      </c>
      <c r="U88" s="9">
        <f>IF(Data!K89&gt;0,Data!K89,0)+U87</f>
        <v>0</v>
      </c>
      <c r="V88" s="9">
        <f>IF(Data!L89&gt;0,Data!L89,0)+V87</f>
        <v>0</v>
      </c>
      <c r="W88" s="9">
        <f>IF(Data!M89&gt;0,Data!M89,0)+W87</f>
        <v>0</v>
      </c>
      <c r="X88" s="9">
        <f>IF(Data!N89&gt;0,Data!N89,0)+X87</f>
        <v>0</v>
      </c>
      <c r="Y88" s="9"/>
      <c r="Z88" s="9"/>
      <c r="AA88" s="9"/>
    </row>
    <row r="89" spans="10:27" x14ac:dyDescent="0.25">
      <c r="J89" s="8">
        <v>46109</v>
      </c>
      <c r="K89" s="9">
        <v>143</v>
      </c>
      <c r="L89" s="9">
        <f>IF(Data!J90-4&gt;0,Data!J90-4,0)+L88</f>
        <v>0</v>
      </c>
      <c r="M89" s="9">
        <f>IF(Data!K90-4&gt;0,Data!K90-4,0)+M88</f>
        <v>0</v>
      </c>
      <c r="N89" s="9">
        <f>IF(Data!L90-4&gt;0,Data!L90-4,0)+N88</f>
        <v>0</v>
      </c>
      <c r="O89" s="9">
        <f>IF(Data!M90-4&gt;0,Data!M90-4,0)+O88</f>
        <v>0</v>
      </c>
      <c r="P89" s="9">
        <f>IF(Data!N90-4&gt;0,Data!N90-4,0)+P88</f>
        <v>0</v>
      </c>
      <c r="Q89" s="9"/>
      <c r="R89" s="9"/>
      <c r="S89" s="9"/>
      <c r="T89" s="9">
        <f>IF(Data!J90&gt;0,Data!J90,0)+T88</f>
        <v>0</v>
      </c>
      <c r="U89" s="9">
        <f>IF(Data!K90&gt;0,Data!K90,0)+U88</f>
        <v>0</v>
      </c>
      <c r="V89" s="9">
        <f>IF(Data!L90&gt;0,Data!L90,0)+V88</f>
        <v>0</v>
      </c>
      <c r="W89" s="9">
        <f>IF(Data!M90&gt;0,Data!M90,0)+W88</f>
        <v>0</v>
      </c>
      <c r="X89" s="9">
        <f>IF(Data!N90&gt;0,Data!N90,0)+X88</f>
        <v>0</v>
      </c>
      <c r="Y89" s="9"/>
      <c r="Z89" s="9"/>
      <c r="AA89" s="9"/>
    </row>
    <row r="90" spans="10:27" x14ac:dyDescent="0.25">
      <c r="J90" s="8">
        <v>46110</v>
      </c>
      <c r="K90" s="9">
        <v>143</v>
      </c>
      <c r="L90" s="9">
        <f>IF(Data!J91-4&gt;0,Data!J91-4,0)+L89</f>
        <v>0</v>
      </c>
      <c r="M90" s="9">
        <f>IF(Data!K91-4&gt;0,Data!K91-4,0)+M89</f>
        <v>0</v>
      </c>
      <c r="N90" s="9">
        <f>IF(Data!L91-4&gt;0,Data!L91-4,0)+N89</f>
        <v>0</v>
      </c>
      <c r="O90" s="9">
        <f>IF(Data!M91-4&gt;0,Data!M91-4,0)+O89</f>
        <v>0</v>
      </c>
      <c r="P90" s="9">
        <f>IF(Data!N91-4&gt;0,Data!N91-4,0)+P89</f>
        <v>0</v>
      </c>
      <c r="Q90" s="9"/>
      <c r="R90" s="9"/>
      <c r="S90" s="9"/>
      <c r="T90" s="9">
        <f>IF(Data!J91&gt;0,Data!J91,0)+T89</f>
        <v>0</v>
      </c>
      <c r="U90" s="9">
        <f>IF(Data!K91&gt;0,Data!K91,0)+U89</f>
        <v>0</v>
      </c>
      <c r="V90" s="9">
        <f>IF(Data!L91&gt;0,Data!L91,0)+V89</f>
        <v>0</v>
      </c>
      <c r="W90" s="9">
        <f>IF(Data!M91&gt;0,Data!M91,0)+W89</f>
        <v>0</v>
      </c>
      <c r="X90" s="9">
        <f>IF(Data!N91&gt;0,Data!N91,0)+X89</f>
        <v>0</v>
      </c>
      <c r="Y90" s="9"/>
      <c r="Z90" s="9"/>
      <c r="AA90" s="9"/>
    </row>
    <row r="91" spans="10:27" x14ac:dyDescent="0.25">
      <c r="J91" s="8">
        <v>46111</v>
      </c>
      <c r="K91" s="9">
        <v>143</v>
      </c>
      <c r="L91" s="9">
        <f>IF(Data!J92-4&gt;0,Data!J92-4,0)+L90</f>
        <v>0</v>
      </c>
      <c r="M91" s="9">
        <f>IF(Data!K92-4&gt;0,Data!K92-4,0)+M90</f>
        <v>0</v>
      </c>
      <c r="N91" s="9">
        <f>IF(Data!L92-4&gt;0,Data!L92-4,0)+N90</f>
        <v>0</v>
      </c>
      <c r="O91" s="9">
        <f>IF(Data!M92-4&gt;0,Data!M92-4,0)+O90</f>
        <v>0</v>
      </c>
      <c r="P91" s="9">
        <f>IF(Data!N92-4&gt;0,Data!N92-4,0)+P90</f>
        <v>0</v>
      </c>
      <c r="Q91" s="9"/>
      <c r="R91" s="9"/>
      <c r="S91" s="9"/>
      <c r="T91" s="9">
        <f>IF(Data!J92&gt;0,Data!J92,0)+T90</f>
        <v>0</v>
      </c>
      <c r="U91" s="9">
        <f>IF(Data!K92&gt;0,Data!K92,0)+U90</f>
        <v>0</v>
      </c>
      <c r="V91" s="9">
        <f>IF(Data!L92&gt;0,Data!L92,0)+V90</f>
        <v>0</v>
      </c>
      <c r="W91" s="9">
        <f>IF(Data!M92&gt;0,Data!M92,0)+W90</f>
        <v>0</v>
      </c>
      <c r="X91" s="9">
        <f>IF(Data!N92&gt;0,Data!N92,0)+X90</f>
        <v>0</v>
      </c>
      <c r="Y91" s="9"/>
      <c r="Z91" s="9"/>
      <c r="AA91" s="9"/>
    </row>
    <row r="92" spans="10:27" x14ac:dyDescent="0.25">
      <c r="J92" s="8">
        <v>46112</v>
      </c>
      <c r="K92" s="9">
        <v>143</v>
      </c>
      <c r="L92" s="9">
        <f>IF(Data!J93-4&gt;0,Data!J93-4,0)+L91</f>
        <v>0</v>
      </c>
      <c r="M92" s="9">
        <f>IF(Data!K93-4&gt;0,Data!K93-4,0)+M91</f>
        <v>0</v>
      </c>
      <c r="N92" s="9">
        <f>IF(Data!L93-4&gt;0,Data!L93-4,0)+N91</f>
        <v>0</v>
      </c>
      <c r="O92" s="9">
        <f>IF(Data!M93-4&gt;0,Data!M93-4,0)+O91</f>
        <v>0</v>
      </c>
      <c r="P92" s="9">
        <f>IF(Data!N93-4&gt;0,Data!N93-4,0)+P91</f>
        <v>0</v>
      </c>
      <c r="Q92" s="9"/>
      <c r="R92" s="9"/>
      <c r="S92" s="9"/>
      <c r="T92" s="9">
        <f>IF(Data!J93&gt;0,Data!J93,0)+T91</f>
        <v>0</v>
      </c>
      <c r="U92" s="9">
        <f>IF(Data!K93&gt;0,Data!K93,0)+U91</f>
        <v>0</v>
      </c>
      <c r="V92" s="9">
        <f>IF(Data!L93&gt;0,Data!L93,0)+V91</f>
        <v>0</v>
      </c>
      <c r="W92" s="9">
        <f>IF(Data!M93&gt;0,Data!M93,0)+W91</f>
        <v>0</v>
      </c>
      <c r="X92" s="9">
        <f>IF(Data!N93&gt;0,Data!N93,0)+X91</f>
        <v>0</v>
      </c>
      <c r="Y92" s="9"/>
      <c r="Z92" s="9"/>
      <c r="AA92" s="9"/>
    </row>
  </sheetData>
  <conditionalFormatting sqref="B25:H25">
    <cfRule type="cellIs" dxfId="1" priority="2" operator="greaterThan">
      <formula>143</formula>
    </cfRule>
  </conditionalFormatting>
  <conditionalFormatting sqref="B28:H28">
    <cfRule type="cellIs" dxfId="0" priority="1" operator="greaterThan">
      <formula>143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Data</vt:lpstr>
      <vt:lpstr>Test</vt:lpstr>
      <vt:lpstr>Ouest</vt:lpstr>
      <vt:lpstr>Est</vt:lpstr>
      <vt:lpstr>Nord</vt:lpstr>
      <vt:lpstr>Sud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HUREL MARIE Anthony</dc:creator>
  <cp:keywords/>
  <dc:description/>
  <cp:lastModifiedBy>Black PeurKe</cp:lastModifiedBy>
  <cp:revision/>
  <dcterms:created xsi:type="dcterms:W3CDTF">2015-06-05T18:19:34Z</dcterms:created>
  <dcterms:modified xsi:type="dcterms:W3CDTF">2026-02-01T10:51:29Z</dcterms:modified>
  <cp:category/>
  <cp:contentStatus/>
</cp:coreProperties>
</file>